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GX\Documents\Tour_du_Valat\Camargue\salicornes\dossier_Lisel\Data\"/>
    </mc:Choice>
  </mc:AlternateContent>
  <bookViews>
    <workbookView xWindow="-120" yWindow="-120" windowWidth="20730" windowHeight="11160" activeTab="4"/>
  </bookViews>
  <sheets>
    <sheet name="sediments" sheetId="1" r:id="rId1"/>
    <sheet name="raw_data" sheetId="2" r:id="rId2"/>
    <sheet name="metadata" sheetId="3" r:id="rId3"/>
    <sheet name="raw_data_rassembles" sheetId="5" r:id="rId4"/>
    <sheet name="data_sol_simpl" sheetId="6" r:id="rId5"/>
  </sheets>
  <definedNames>
    <definedName name="_xlnm.Print_Area" localSheetId="3">raw_data_rassembles!$A$1:$R$91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91" i="5" l="1"/>
  <c r="Q88" i="5"/>
  <c r="Q85" i="5"/>
  <c r="Q82" i="5"/>
  <c r="Q79" i="5"/>
  <c r="Q76" i="5"/>
  <c r="Q73" i="5"/>
  <c r="Q70" i="5"/>
  <c r="Q67" i="5"/>
  <c r="Q64" i="5"/>
  <c r="Q61" i="5"/>
  <c r="Q58" i="5"/>
  <c r="Q55" i="5"/>
  <c r="Q52" i="5"/>
  <c r="Q49" i="5"/>
  <c r="Q46" i="5"/>
  <c r="Q43" i="5"/>
  <c r="Q40" i="5"/>
  <c r="Q37" i="5"/>
  <c r="Q34" i="5"/>
  <c r="Q28" i="5"/>
  <c r="Q25" i="5"/>
  <c r="Q22" i="5"/>
  <c r="Q19" i="5"/>
  <c r="Q16" i="5"/>
  <c r="Q13" i="5"/>
  <c r="Q7" i="5"/>
  <c r="Q4" i="5"/>
  <c r="P90" i="5"/>
  <c r="P87" i="5"/>
  <c r="P84" i="5"/>
  <c r="P81" i="5"/>
  <c r="P78" i="5"/>
  <c r="P75" i="5"/>
  <c r="P72" i="5"/>
  <c r="P69" i="5"/>
  <c r="O89" i="5"/>
  <c r="O86" i="5"/>
  <c r="O83" i="5"/>
  <c r="O80" i="5"/>
  <c r="O77" i="5"/>
  <c r="O74" i="5"/>
  <c r="O71" i="5"/>
  <c r="O68" i="5"/>
  <c r="N3" i="5" l="1"/>
  <c r="N4" i="5"/>
  <c r="N5" i="5"/>
  <c r="N6" i="5"/>
  <c r="N7" i="5"/>
  <c r="N9" i="5"/>
  <c r="N10" i="5"/>
  <c r="N11" i="5"/>
  <c r="O11" i="5" s="1"/>
  <c r="N12" i="5"/>
  <c r="N13" i="5"/>
  <c r="N14" i="5"/>
  <c r="N15" i="5"/>
  <c r="N16" i="5"/>
  <c r="N17" i="5"/>
  <c r="N18" i="5"/>
  <c r="N19" i="5"/>
  <c r="N20" i="5"/>
  <c r="O20" i="5" s="1"/>
  <c r="N21" i="5"/>
  <c r="N22" i="5"/>
  <c r="N23" i="5"/>
  <c r="N24" i="5"/>
  <c r="P24" i="5" s="1"/>
  <c r="N25" i="5"/>
  <c r="N26" i="5"/>
  <c r="N27" i="5"/>
  <c r="P27" i="5" s="1"/>
  <c r="N28" i="5"/>
  <c r="N30" i="5"/>
  <c r="N31" i="5"/>
  <c r="N32" i="5"/>
  <c r="N33" i="5"/>
  <c r="N34" i="5"/>
  <c r="N35" i="5"/>
  <c r="N36" i="5"/>
  <c r="P36" i="5" s="1"/>
  <c r="N37" i="5"/>
  <c r="N38" i="5"/>
  <c r="N39" i="5"/>
  <c r="N40" i="5"/>
  <c r="N41" i="5"/>
  <c r="N42" i="5"/>
  <c r="N43" i="5"/>
  <c r="N44" i="5"/>
  <c r="O44" i="5" s="1"/>
  <c r="N45" i="5"/>
  <c r="P45" i="5" s="1"/>
  <c r="N46" i="5"/>
  <c r="N47" i="5"/>
  <c r="N48" i="5"/>
  <c r="N49" i="5"/>
  <c r="N50" i="5"/>
  <c r="N51" i="5"/>
  <c r="N52" i="5"/>
  <c r="N53" i="5"/>
  <c r="O53" i="5" s="1"/>
  <c r="N54" i="5"/>
  <c r="N55" i="5"/>
  <c r="N56" i="5"/>
  <c r="N57" i="5"/>
  <c r="N58" i="5"/>
  <c r="N59" i="5"/>
  <c r="N60" i="5"/>
  <c r="P60" i="5" s="1"/>
  <c r="N61" i="5"/>
  <c r="N62" i="5"/>
  <c r="N63" i="5"/>
  <c r="N64" i="5"/>
  <c r="N65" i="5"/>
  <c r="N66" i="5"/>
  <c r="P66" i="5" s="1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2" i="5"/>
  <c r="O17" i="5" l="1"/>
  <c r="P9" i="5"/>
  <c r="O59" i="5"/>
  <c r="O35" i="5"/>
  <c r="O50" i="5"/>
  <c r="O65" i="5"/>
  <c r="O41" i="5"/>
  <c r="O56" i="5"/>
  <c r="P15" i="5"/>
  <c r="P63" i="5"/>
  <c r="O47" i="5"/>
  <c r="P39" i="5"/>
  <c r="O14" i="5"/>
  <c r="O5" i="5"/>
  <c r="P18" i="5"/>
  <c r="P57" i="5"/>
  <c r="P33" i="5"/>
  <c r="P48" i="5"/>
  <c r="O32" i="5"/>
  <c r="P6" i="5"/>
  <c r="O62" i="5"/>
  <c r="P54" i="5"/>
  <c r="O38" i="5"/>
  <c r="P30" i="5"/>
  <c r="P21" i="5"/>
  <c r="P51" i="5"/>
  <c r="O26" i="5"/>
  <c r="P42" i="5"/>
  <c r="O23" i="5"/>
  <c r="P12" i="5"/>
  <c r="P3" i="5"/>
  <c r="O2" i="5"/>
  <c r="K8" i="5"/>
  <c r="K3" i="5"/>
  <c r="K4" i="5"/>
  <c r="K5" i="5"/>
  <c r="K6" i="5"/>
  <c r="K7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2" i="5"/>
</calcChain>
</file>

<file path=xl/sharedStrings.xml><?xml version="1.0" encoding="utf-8"?>
<sst xmlns="http://schemas.openxmlformats.org/spreadsheetml/2006/main" count="907" uniqueCount="67">
  <si>
    <t>id_secteur</t>
  </si>
  <si>
    <t>id_station</t>
  </si>
  <si>
    <t>touffe</t>
  </si>
  <si>
    <t>intermed</t>
  </si>
  <si>
    <t>annuelle</t>
  </si>
  <si>
    <t>9_1</t>
  </si>
  <si>
    <t>7_1</t>
  </si>
  <si>
    <t>2_1</t>
  </si>
  <si>
    <t>1_1</t>
  </si>
  <si>
    <t>3_1</t>
  </si>
  <si>
    <t>4_1</t>
  </si>
  <si>
    <t>5_1</t>
  </si>
  <si>
    <t>6_1</t>
  </si>
  <si>
    <t>8_1</t>
  </si>
  <si>
    <t>10_1</t>
  </si>
  <si>
    <t>1_2</t>
  </si>
  <si>
    <t>2_2</t>
  </si>
  <si>
    <t>3_2</t>
  </si>
  <si>
    <t>4_2</t>
  </si>
  <si>
    <t>5_2</t>
  </si>
  <si>
    <t>6_2</t>
  </si>
  <si>
    <t>7_2</t>
  </si>
  <si>
    <t>8_2</t>
  </si>
  <si>
    <t>9_2</t>
  </si>
  <si>
    <t>10_2</t>
  </si>
  <si>
    <t>1_3</t>
  </si>
  <si>
    <t>2_3</t>
  </si>
  <si>
    <t>3_3</t>
  </si>
  <si>
    <t>4_3</t>
  </si>
  <si>
    <t>5_3</t>
  </si>
  <si>
    <t>6_3</t>
  </si>
  <si>
    <t>7_3</t>
  </si>
  <si>
    <t>8_3</t>
  </si>
  <si>
    <t>9_3</t>
  </si>
  <si>
    <t>10_3</t>
  </si>
  <si>
    <t>id_gps</t>
  </si>
  <si>
    <t>dist_prelevements_cm</t>
  </si>
  <si>
    <t>poulet</t>
  </si>
  <si>
    <t>plastique</t>
  </si>
  <si>
    <t>plastique doublé</t>
  </si>
  <si>
    <t>sachet</t>
  </si>
  <si>
    <t>zone</t>
  </si>
  <si>
    <t>masse sachet</t>
  </si>
  <si>
    <t>masse frais 080823</t>
  </si>
  <si>
    <t>masse frais 090823</t>
  </si>
  <si>
    <t>masse sec 160823</t>
  </si>
  <si>
    <t>masse frais 160823</t>
  </si>
  <si>
    <t>Commentaire</t>
  </si>
  <si>
    <t>sachet plastique doublé</t>
  </si>
  <si>
    <t>masse frais 180823</t>
  </si>
  <si>
    <t xml:space="preserve">a verifier </t>
  </si>
  <si>
    <t>échantillon renversé après pesée du 16/08: nouveau poids= 220.9</t>
  </si>
  <si>
    <t>papier blanc</t>
  </si>
  <si>
    <t>masses fraiches</t>
  </si>
  <si>
    <t>masse frais (g)</t>
  </si>
  <si>
    <t>masse sec 16/08/23 (g)</t>
  </si>
  <si>
    <t>masse sec 23/08/2023 (test)</t>
  </si>
  <si>
    <t>masse sec 29/08/2023</t>
  </si>
  <si>
    <t>sachet plastique percé → doublé par sachet papier blanc</t>
  </si>
  <si>
    <t xml:space="preserve">diff masse sèche </t>
  </si>
  <si>
    <t>masse sec 6/09/2023</t>
  </si>
  <si>
    <t>masse sec 14/09/2023</t>
  </si>
  <si>
    <t>teneur_eau</t>
  </si>
  <si>
    <t>ATTENTION - IL FAUT ENLEVER LE POIDS DES SACS</t>
  </si>
  <si>
    <t>delta_touffe_ZI</t>
  </si>
  <si>
    <t>delta_ZI_A</t>
  </si>
  <si>
    <t>delta_A_touffe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</si>
</sst>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i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B0F0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 vertical="top"/>
    </xf>
    <xf numFmtId="49" fontId="1" fillId="3" borderId="0" xfId="0" applyNumberFormat="1" applyFont="1" applyFill="1"/>
    <xf numFmtId="49" fontId="1" fillId="2" borderId="0" xfId="0" applyNumberFormat="1" applyFont="1" applyFill="1"/>
    <xf numFmtId="49" fontId="1" fillId="4" borderId="0" xfId="0" applyNumberFormat="1" applyFont="1" applyFill="1"/>
    <xf numFmtId="49" fontId="1" fillId="5" borderId="0" xfId="0" applyNumberFormat="1" applyFont="1" applyFill="1"/>
    <xf numFmtId="0" fontId="0" fillId="0" borderId="0" xfId="0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0" fontId="4" fillId="0" borderId="0" xfId="0" applyFont="1"/>
    <xf numFmtId="0" fontId="4" fillId="0" borderId="0" xfId="0" applyFont="1" applyAlignment="1">
      <alignment wrapText="1"/>
    </xf>
    <xf numFmtId="164" fontId="4" fillId="0" borderId="0" xfId="0" applyNumberFormat="1" applyFont="1" applyAlignment="1">
      <alignment wrapText="1"/>
    </xf>
    <xf numFmtId="0" fontId="5" fillId="0" borderId="0" xfId="0" applyFont="1"/>
    <xf numFmtId="0" fontId="6" fillId="0" borderId="0" xfId="0" applyFont="1" applyAlignment="1">
      <alignment wrapText="1"/>
    </xf>
    <xf numFmtId="1" fontId="0" fillId="0" borderId="0" xfId="0" applyNumberFormat="1"/>
    <xf numFmtId="0" fontId="0" fillId="0" borderId="0" xfId="0" applyAlignment="1">
      <alignment wrapText="1"/>
    </xf>
    <xf numFmtId="0" fontId="4" fillId="0" borderId="1" xfId="0" applyFont="1" applyBorder="1" applyAlignment="1">
      <alignment wrapText="1"/>
    </xf>
    <xf numFmtId="164" fontId="4" fillId="0" borderId="1" xfId="0" applyNumberFormat="1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0" fillId="0" borderId="1" xfId="0" applyBorder="1"/>
    <xf numFmtId="49" fontId="1" fillId="3" borderId="1" xfId="0" applyNumberFormat="1" applyFont="1" applyFill="1" applyBorder="1"/>
    <xf numFmtId="0" fontId="1" fillId="0" borderId="1" xfId="0" applyFont="1" applyBorder="1"/>
    <xf numFmtId="164" fontId="0" fillId="0" borderId="1" xfId="0" applyNumberFormat="1" applyBorder="1"/>
    <xf numFmtId="49" fontId="1" fillId="2" borderId="1" xfId="0" applyNumberFormat="1" applyFont="1" applyFill="1" applyBorder="1"/>
    <xf numFmtId="0" fontId="1" fillId="0" borderId="1" xfId="0" applyFont="1" applyBorder="1" applyAlignment="1">
      <alignment horizontal="right" vertical="top"/>
    </xf>
    <xf numFmtId="164" fontId="0" fillId="8" borderId="1" xfId="0" applyNumberFormat="1" applyFill="1" applyBorder="1"/>
    <xf numFmtId="49" fontId="1" fillId="4" borderId="1" xfId="0" applyNumberFormat="1" applyFont="1" applyFill="1" applyBorder="1"/>
    <xf numFmtId="164" fontId="3" fillId="8" borderId="1" xfId="0" applyNumberFormat="1" applyFont="1" applyFill="1" applyBorder="1"/>
    <xf numFmtId="0" fontId="0" fillId="9" borderId="1" xfId="0" applyFill="1" applyBorder="1"/>
    <xf numFmtId="49" fontId="1" fillId="5" borderId="1" xfId="0" applyNumberFormat="1" applyFont="1" applyFill="1" applyBorder="1"/>
    <xf numFmtId="0" fontId="0" fillId="10" borderId="1" xfId="0" applyFill="1" applyBorder="1"/>
    <xf numFmtId="0" fontId="5" fillId="0" borderId="1" xfId="0" applyFont="1" applyBorder="1" applyAlignment="1">
      <alignment wrapText="1"/>
    </xf>
    <xf numFmtId="0" fontId="5" fillId="0" borderId="0" xfId="0" applyFont="1" applyAlignment="1">
      <alignment wrapText="1"/>
    </xf>
    <xf numFmtId="0" fontId="0" fillId="0" borderId="2" xfId="0" applyBorder="1"/>
    <xf numFmtId="0" fontId="4" fillId="0" borderId="3" xfId="0" applyFont="1" applyBorder="1"/>
    <xf numFmtId="14" fontId="0" fillId="0" borderId="4" xfId="0" applyNumberFormat="1" applyBorder="1"/>
    <xf numFmtId="14" fontId="0" fillId="8" borderId="4" xfId="0" applyNumberFormat="1" applyFill="1" applyBorder="1"/>
    <xf numFmtId="14" fontId="0" fillId="9" borderId="4" xfId="0" applyNumberFormat="1" applyFill="1" applyBorder="1"/>
    <xf numFmtId="14" fontId="0" fillId="10" borderId="5" xfId="0" applyNumberFormat="1" applyFill="1" applyBorder="1"/>
    <xf numFmtId="0" fontId="0" fillId="0" borderId="6" xfId="0" applyFill="1" applyBorder="1"/>
    <xf numFmtId="0" fontId="7" fillId="0" borderId="1" xfId="0" applyFont="1" applyBorder="1"/>
    <xf numFmtId="0" fontId="3" fillId="0" borderId="1" xfId="0" applyFont="1" applyBorder="1"/>
    <xf numFmtId="164" fontId="3" fillId="0" borderId="1" xfId="0" applyNumberFormat="1" applyFont="1" applyBorder="1"/>
    <xf numFmtId="0" fontId="3" fillId="0" borderId="2" xfId="0" applyFont="1" applyBorder="1"/>
    <xf numFmtId="0" fontId="8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0" fillId="0" borderId="0" xfId="0" applyBorder="1"/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>
      <selection activeCell="D33" sqref="D33"/>
    </sheetView>
  </sheetViews>
  <sheetFormatPr baseColWidth="10" defaultRowHeight="15" x14ac:dyDescent="0.25"/>
  <cols>
    <col min="1" max="1" width="11.42578125" style="7"/>
    <col min="4" max="4" width="14.5703125" customWidth="1"/>
  </cols>
  <sheetData>
    <row r="1" spans="1:6" x14ac:dyDescent="0.25">
      <c r="D1" t="s">
        <v>36</v>
      </c>
    </row>
    <row r="2" spans="1:6" x14ac:dyDescent="0.25">
      <c r="A2" s="7" t="s">
        <v>0</v>
      </c>
      <c r="B2" t="s">
        <v>1</v>
      </c>
      <c r="C2" t="s">
        <v>35</v>
      </c>
      <c r="D2" t="s">
        <v>2</v>
      </c>
      <c r="E2" t="s">
        <v>3</v>
      </c>
      <c r="F2" t="s">
        <v>4</v>
      </c>
    </row>
    <row r="3" spans="1:6" x14ac:dyDescent="0.25">
      <c r="A3" s="8">
        <v>1</v>
      </c>
      <c r="B3" s="3" t="s">
        <v>8</v>
      </c>
      <c r="C3" s="1">
        <v>711</v>
      </c>
      <c r="D3" s="18">
        <v>30</v>
      </c>
      <c r="E3" s="18">
        <v>80</v>
      </c>
      <c r="F3" s="18">
        <v>150</v>
      </c>
    </row>
    <row r="4" spans="1:6" x14ac:dyDescent="0.25">
      <c r="A4" s="8">
        <v>1</v>
      </c>
      <c r="B4" s="4" t="s">
        <v>7</v>
      </c>
      <c r="C4" s="1">
        <v>710</v>
      </c>
      <c r="D4" s="18">
        <v>10</v>
      </c>
      <c r="E4" s="18">
        <v>35</v>
      </c>
      <c r="F4" s="18">
        <v>100</v>
      </c>
    </row>
    <row r="5" spans="1:6" x14ac:dyDescent="0.25">
      <c r="A5" s="8">
        <v>1</v>
      </c>
      <c r="B5" s="3" t="s">
        <v>9</v>
      </c>
      <c r="C5" s="1">
        <v>712</v>
      </c>
      <c r="D5" s="18">
        <v>30</v>
      </c>
      <c r="E5" s="18">
        <v>80</v>
      </c>
      <c r="F5" s="18">
        <v>150</v>
      </c>
    </row>
    <row r="6" spans="1:6" x14ac:dyDescent="0.25">
      <c r="A6" s="8">
        <v>1</v>
      </c>
      <c r="B6" s="3" t="s">
        <v>10</v>
      </c>
      <c r="C6" s="1">
        <v>713</v>
      </c>
      <c r="D6" s="18">
        <v>25</v>
      </c>
      <c r="E6" s="18">
        <v>65</v>
      </c>
      <c r="F6" s="18">
        <v>120</v>
      </c>
    </row>
    <row r="7" spans="1:6" x14ac:dyDescent="0.25">
      <c r="A7" s="8">
        <v>1</v>
      </c>
      <c r="B7" s="3" t="s">
        <v>11</v>
      </c>
      <c r="C7" s="1">
        <v>714</v>
      </c>
      <c r="D7" s="18">
        <v>15</v>
      </c>
      <c r="E7" s="18">
        <v>50</v>
      </c>
      <c r="F7" s="18">
        <v>100</v>
      </c>
    </row>
    <row r="8" spans="1:6" x14ac:dyDescent="0.25">
      <c r="A8" s="8">
        <v>1</v>
      </c>
      <c r="B8" s="3" t="s">
        <v>12</v>
      </c>
      <c r="C8" s="1">
        <v>715</v>
      </c>
      <c r="D8" s="18">
        <v>10</v>
      </c>
      <c r="E8" s="18">
        <v>35</v>
      </c>
      <c r="F8" s="18">
        <v>100</v>
      </c>
    </row>
    <row r="9" spans="1:6" x14ac:dyDescent="0.25">
      <c r="A9" s="8">
        <v>1</v>
      </c>
      <c r="B9" s="4" t="s">
        <v>6</v>
      </c>
      <c r="C9" s="2" t="s">
        <v>6</v>
      </c>
      <c r="D9" s="18">
        <v>15</v>
      </c>
      <c r="E9" s="18">
        <v>45</v>
      </c>
      <c r="F9" s="18">
        <v>100</v>
      </c>
    </row>
    <row r="10" spans="1:6" x14ac:dyDescent="0.25">
      <c r="A10" s="8">
        <v>1</v>
      </c>
      <c r="B10" s="3" t="s">
        <v>13</v>
      </c>
      <c r="C10" s="1">
        <v>462</v>
      </c>
      <c r="D10" s="18">
        <v>10</v>
      </c>
      <c r="E10" s="18">
        <v>35</v>
      </c>
      <c r="F10" s="18">
        <v>100</v>
      </c>
    </row>
    <row r="11" spans="1:6" x14ac:dyDescent="0.25">
      <c r="A11" s="8">
        <v>1</v>
      </c>
      <c r="B11" s="4" t="s">
        <v>5</v>
      </c>
      <c r="C11" s="1">
        <v>709</v>
      </c>
      <c r="D11" s="18">
        <v>30</v>
      </c>
      <c r="E11" s="18">
        <v>125</v>
      </c>
      <c r="F11" s="18">
        <v>250</v>
      </c>
    </row>
    <row r="12" spans="1:6" x14ac:dyDescent="0.25">
      <c r="A12" s="8">
        <v>1</v>
      </c>
      <c r="B12" s="3" t="s">
        <v>14</v>
      </c>
      <c r="C12" s="1">
        <v>463</v>
      </c>
      <c r="D12" s="18">
        <v>25</v>
      </c>
      <c r="E12" s="18">
        <v>100</v>
      </c>
      <c r="F12" s="18">
        <v>200</v>
      </c>
    </row>
    <row r="13" spans="1:6" x14ac:dyDescent="0.25">
      <c r="A13" s="9">
        <v>2</v>
      </c>
      <c r="B13" s="5" t="s">
        <v>15</v>
      </c>
      <c r="C13" s="1">
        <v>464</v>
      </c>
      <c r="D13" s="18">
        <v>10</v>
      </c>
      <c r="E13" s="18">
        <v>35</v>
      </c>
      <c r="F13" s="18">
        <v>100</v>
      </c>
    </row>
    <row r="14" spans="1:6" x14ac:dyDescent="0.25">
      <c r="A14" s="9">
        <v>2</v>
      </c>
      <c r="B14" s="5" t="s">
        <v>16</v>
      </c>
      <c r="C14" s="1">
        <v>465</v>
      </c>
      <c r="D14" s="18">
        <v>10</v>
      </c>
      <c r="E14" s="18">
        <v>40</v>
      </c>
      <c r="F14" s="18">
        <v>120</v>
      </c>
    </row>
    <row r="15" spans="1:6" x14ac:dyDescent="0.25">
      <c r="A15" s="9">
        <v>2</v>
      </c>
      <c r="B15" s="5" t="s">
        <v>17</v>
      </c>
      <c r="C15" s="1">
        <v>466</v>
      </c>
      <c r="D15" s="18">
        <v>35</v>
      </c>
      <c r="E15" s="18">
        <v>80</v>
      </c>
      <c r="F15" s="18">
        <v>180</v>
      </c>
    </row>
    <row r="16" spans="1:6" x14ac:dyDescent="0.25">
      <c r="A16" s="9">
        <v>2</v>
      </c>
      <c r="B16" s="5" t="s">
        <v>18</v>
      </c>
      <c r="C16" s="1">
        <v>467</v>
      </c>
      <c r="D16" s="18">
        <v>20</v>
      </c>
      <c r="E16" s="18">
        <v>70</v>
      </c>
      <c r="F16" s="18">
        <v>180</v>
      </c>
    </row>
    <row r="17" spans="1:6" x14ac:dyDescent="0.25">
      <c r="A17" s="9">
        <v>2</v>
      </c>
      <c r="B17" s="5" t="s">
        <v>19</v>
      </c>
      <c r="C17" s="1">
        <v>468</v>
      </c>
      <c r="D17" s="18">
        <v>10</v>
      </c>
      <c r="E17" s="18">
        <v>40</v>
      </c>
      <c r="F17" s="18">
        <v>160</v>
      </c>
    </row>
    <row r="18" spans="1:6" x14ac:dyDescent="0.25">
      <c r="A18" s="9">
        <v>2</v>
      </c>
      <c r="B18" s="5" t="s">
        <v>20</v>
      </c>
      <c r="C18" s="1">
        <v>469</v>
      </c>
      <c r="D18" s="18">
        <v>10</v>
      </c>
      <c r="E18" s="18">
        <v>40</v>
      </c>
      <c r="F18" s="18">
        <v>100</v>
      </c>
    </row>
    <row r="19" spans="1:6" x14ac:dyDescent="0.25">
      <c r="A19" s="9">
        <v>2</v>
      </c>
      <c r="B19" s="5" t="s">
        <v>21</v>
      </c>
      <c r="C19">
        <v>716</v>
      </c>
      <c r="D19" s="18">
        <v>10</v>
      </c>
      <c r="E19" s="18">
        <v>40</v>
      </c>
      <c r="F19" s="18">
        <v>100</v>
      </c>
    </row>
    <row r="20" spans="1:6" x14ac:dyDescent="0.25">
      <c r="A20" s="9">
        <v>2</v>
      </c>
      <c r="B20" s="5" t="s">
        <v>22</v>
      </c>
      <c r="C20">
        <v>718</v>
      </c>
      <c r="D20" s="18">
        <v>20</v>
      </c>
      <c r="E20" s="18">
        <v>80</v>
      </c>
      <c r="F20" s="18">
        <v>140</v>
      </c>
    </row>
    <row r="21" spans="1:6" x14ac:dyDescent="0.25">
      <c r="A21" s="9">
        <v>2</v>
      </c>
      <c r="B21" s="5" t="s">
        <v>23</v>
      </c>
      <c r="C21">
        <v>719</v>
      </c>
      <c r="D21" s="18">
        <v>15</v>
      </c>
      <c r="E21" s="18">
        <v>40</v>
      </c>
      <c r="F21" s="18">
        <v>80</v>
      </c>
    </row>
    <row r="22" spans="1:6" x14ac:dyDescent="0.25">
      <c r="A22" s="9">
        <v>2</v>
      </c>
      <c r="B22" s="5" t="s">
        <v>24</v>
      </c>
      <c r="C22">
        <v>720</v>
      </c>
      <c r="D22" s="18">
        <v>20</v>
      </c>
      <c r="E22" s="18">
        <v>70</v>
      </c>
      <c r="F22" s="18">
        <v>170</v>
      </c>
    </row>
    <row r="23" spans="1:6" x14ac:dyDescent="0.25">
      <c r="A23" s="10">
        <v>3</v>
      </c>
      <c r="B23" s="6" t="s">
        <v>25</v>
      </c>
      <c r="C23">
        <v>721</v>
      </c>
      <c r="D23" s="18">
        <v>35</v>
      </c>
      <c r="E23" s="18">
        <v>110</v>
      </c>
      <c r="F23" s="18">
        <v>190</v>
      </c>
    </row>
    <row r="24" spans="1:6" x14ac:dyDescent="0.25">
      <c r="A24" s="10">
        <v>3</v>
      </c>
      <c r="B24" s="6" t="s">
        <v>26</v>
      </c>
      <c r="C24">
        <v>722</v>
      </c>
      <c r="D24" s="18">
        <v>25</v>
      </c>
      <c r="E24" s="18">
        <v>70</v>
      </c>
      <c r="F24" s="18">
        <v>140</v>
      </c>
    </row>
    <row r="25" spans="1:6" x14ac:dyDescent="0.25">
      <c r="A25" s="10">
        <v>3</v>
      </c>
      <c r="B25" s="6" t="s">
        <v>27</v>
      </c>
      <c r="C25">
        <v>723</v>
      </c>
      <c r="D25" s="18">
        <v>10</v>
      </c>
      <c r="E25" s="18">
        <v>30</v>
      </c>
      <c r="F25" s="18">
        <v>80</v>
      </c>
    </row>
    <row r="26" spans="1:6" x14ac:dyDescent="0.25">
      <c r="A26" s="10">
        <v>3</v>
      </c>
      <c r="B26" s="6" t="s">
        <v>28</v>
      </c>
      <c r="C26">
        <v>724</v>
      </c>
      <c r="D26" s="18">
        <v>10</v>
      </c>
      <c r="E26" s="18">
        <v>35</v>
      </c>
      <c r="F26" s="18">
        <v>100</v>
      </c>
    </row>
    <row r="27" spans="1:6" x14ac:dyDescent="0.25">
      <c r="A27" s="10">
        <v>3</v>
      </c>
      <c r="B27" s="6" t="s">
        <v>29</v>
      </c>
      <c r="C27">
        <v>725</v>
      </c>
      <c r="D27" s="18">
        <v>15</v>
      </c>
      <c r="E27" s="18">
        <v>75</v>
      </c>
      <c r="F27" s="18">
        <v>120</v>
      </c>
    </row>
    <row r="28" spans="1:6" x14ac:dyDescent="0.25">
      <c r="A28" s="10">
        <v>3</v>
      </c>
      <c r="B28" s="6" t="s">
        <v>30</v>
      </c>
      <c r="C28">
        <v>726</v>
      </c>
      <c r="D28" s="18">
        <v>20</v>
      </c>
      <c r="E28" s="18">
        <v>60</v>
      </c>
      <c r="F28" s="18">
        <v>100</v>
      </c>
    </row>
    <row r="29" spans="1:6" x14ac:dyDescent="0.25">
      <c r="A29" s="10">
        <v>3</v>
      </c>
      <c r="B29" s="6" t="s">
        <v>31</v>
      </c>
      <c r="C29">
        <v>727</v>
      </c>
      <c r="D29" s="18">
        <v>15</v>
      </c>
      <c r="E29" s="18">
        <v>35</v>
      </c>
      <c r="F29" s="18">
        <v>100</v>
      </c>
    </row>
    <row r="30" spans="1:6" x14ac:dyDescent="0.25">
      <c r="A30" s="10">
        <v>3</v>
      </c>
      <c r="B30" s="6" t="s">
        <v>32</v>
      </c>
      <c r="C30">
        <v>728</v>
      </c>
      <c r="D30" s="18">
        <v>10</v>
      </c>
      <c r="E30" s="18">
        <v>35</v>
      </c>
      <c r="F30" s="18">
        <v>80</v>
      </c>
    </row>
    <row r="31" spans="1:6" x14ac:dyDescent="0.25">
      <c r="A31" s="10">
        <v>3</v>
      </c>
      <c r="B31" s="6" t="s">
        <v>33</v>
      </c>
      <c r="C31">
        <v>729</v>
      </c>
      <c r="D31" s="18">
        <v>30</v>
      </c>
      <c r="E31" s="18">
        <v>55</v>
      </c>
      <c r="F31" s="18">
        <v>200</v>
      </c>
    </row>
    <row r="32" spans="1:6" x14ac:dyDescent="0.25">
      <c r="A32" s="10">
        <v>3</v>
      </c>
      <c r="B32" s="6" t="s">
        <v>34</v>
      </c>
      <c r="C32">
        <v>730</v>
      </c>
      <c r="D32" s="18">
        <v>20</v>
      </c>
      <c r="E32" s="18">
        <v>50</v>
      </c>
      <c r="F32" s="18">
        <v>170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1"/>
  <sheetViews>
    <sheetView workbookViewId="0">
      <selection activeCell="L83" sqref="L83"/>
    </sheetView>
  </sheetViews>
  <sheetFormatPr baseColWidth="10" defaultRowHeight="15" x14ac:dyDescent="0.25"/>
  <cols>
    <col min="3" max="3" width="6.28515625" customWidth="1"/>
    <col min="5" max="5" width="12.7109375" customWidth="1"/>
    <col min="6" max="6" width="7.85546875" customWidth="1"/>
    <col min="7" max="7" width="11.28515625" style="11" customWidth="1"/>
    <col min="8" max="8" width="11.140625" style="11" customWidth="1"/>
    <col min="9" max="9" width="10.7109375" customWidth="1"/>
    <col min="12" max="12" width="26.140625" style="16" customWidth="1"/>
  </cols>
  <sheetData>
    <row r="1" spans="1:12" ht="30" x14ac:dyDescent="0.25">
      <c r="A1" s="13" t="s">
        <v>0</v>
      </c>
      <c r="B1" s="13" t="s">
        <v>1</v>
      </c>
      <c r="C1" s="13" t="s">
        <v>35</v>
      </c>
      <c r="D1" s="13" t="s">
        <v>41</v>
      </c>
      <c r="E1" s="13" t="s">
        <v>40</v>
      </c>
      <c r="F1" s="14" t="s">
        <v>42</v>
      </c>
      <c r="G1" s="15" t="s">
        <v>43</v>
      </c>
      <c r="H1" s="15" t="s">
        <v>44</v>
      </c>
      <c r="I1" s="14" t="s">
        <v>45</v>
      </c>
      <c r="J1" s="14" t="s">
        <v>46</v>
      </c>
      <c r="K1" s="14" t="s">
        <v>49</v>
      </c>
      <c r="L1" s="17" t="s">
        <v>47</v>
      </c>
    </row>
    <row r="2" spans="1:12" x14ac:dyDescent="0.25">
      <c r="A2">
        <v>1</v>
      </c>
      <c r="B2" s="3" t="s">
        <v>8</v>
      </c>
      <c r="C2" s="1">
        <v>711</v>
      </c>
      <c r="D2" t="s">
        <v>2</v>
      </c>
      <c r="E2" t="s">
        <v>39</v>
      </c>
      <c r="G2" s="11">
        <v>213.3</v>
      </c>
      <c r="I2">
        <v>180.2</v>
      </c>
      <c r="L2" s="16" t="s">
        <v>48</v>
      </c>
    </row>
    <row r="3" spans="1:12" x14ac:dyDescent="0.25">
      <c r="A3">
        <v>1</v>
      </c>
      <c r="B3" s="3" t="s">
        <v>8</v>
      </c>
      <c r="C3" s="1">
        <v>711</v>
      </c>
      <c r="D3" t="s">
        <v>3</v>
      </c>
      <c r="E3" t="s">
        <v>38</v>
      </c>
      <c r="G3" s="11">
        <v>184.1</v>
      </c>
      <c r="I3">
        <v>157.4</v>
      </c>
    </row>
    <row r="4" spans="1:12" x14ac:dyDescent="0.25">
      <c r="A4">
        <v>1</v>
      </c>
      <c r="B4" s="3" t="s">
        <v>8</v>
      </c>
      <c r="C4" s="1">
        <v>711</v>
      </c>
      <c r="D4" t="s">
        <v>4</v>
      </c>
      <c r="E4" t="s">
        <v>38</v>
      </c>
      <c r="G4" s="11">
        <v>164.9</v>
      </c>
      <c r="I4">
        <v>140.9</v>
      </c>
    </row>
    <row r="5" spans="1:12" x14ac:dyDescent="0.25">
      <c r="A5">
        <v>1</v>
      </c>
      <c r="B5" s="4" t="s">
        <v>7</v>
      </c>
      <c r="C5" s="1">
        <v>710</v>
      </c>
      <c r="D5" t="s">
        <v>2</v>
      </c>
      <c r="E5" t="s">
        <v>38</v>
      </c>
      <c r="G5" s="11">
        <v>193.9</v>
      </c>
      <c r="I5">
        <v>160.69999999999999</v>
      </c>
    </row>
    <row r="6" spans="1:12" x14ac:dyDescent="0.25">
      <c r="A6">
        <v>1</v>
      </c>
      <c r="B6" s="4" t="s">
        <v>7</v>
      </c>
      <c r="C6" s="1">
        <v>710</v>
      </c>
      <c r="D6" t="s">
        <v>3</v>
      </c>
      <c r="E6" t="s">
        <v>38</v>
      </c>
      <c r="G6" s="11">
        <v>119</v>
      </c>
      <c r="I6" s="11">
        <v>103</v>
      </c>
    </row>
    <row r="7" spans="1:12" x14ac:dyDescent="0.25">
      <c r="A7">
        <v>1</v>
      </c>
      <c r="B7" s="4" t="s">
        <v>7</v>
      </c>
      <c r="C7" s="1">
        <v>710</v>
      </c>
      <c r="D7" t="s">
        <v>4</v>
      </c>
      <c r="E7" t="s">
        <v>38</v>
      </c>
      <c r="G7" s="11">
        <v>171.1</v>
      </c>
      <c r="I7">
        <v>142.1</v>
      </c>
    </row>
    <row r="8" spans="1:12" x14ac:dyDescent="0.25">
      <c r="A8">
        <v>1</v>
      </c>
      <c r="B8" s="3" t="s">
        <v>9</v>
      </c>
      <c r="C8" s="1">
        <v>712</v>
      </c>
      <c r="D8" t="s">
        <v>2</v>
      </c>
      <c r="E8" t="s">
        <v>38</v>
      </c>
      <c r="G8" s="11">
        <v>239.2</v>
      </c>
      <c r="I8">
        <v>201.9</v>
      </c>
    </row>
    <row r="9" spans="1:12" x14ac:dyDescent="0.25">
      <c r="A9">
        <v>1</v>
      </c>
      <c r="B9" s="3" t="s">
        <v>9</v>
      </c>
      <c r="C9" s="1">
        <v>712</v>
      </c>
      <c r="D9" t="s">
        <v>3</v>
      </c>
      <c r="E9" t="s">
        <v>38</v>
      </c>
      <c r="G9" s="11">
        <v>144.30000000000001</v>
      </c>
      <c r="I9">
        <v>122.8</v>
      </c>
    </row>
    <row r="10" spans="1:12" x14ac:dyDescent="0.25">
      <c r="A10">
        <v>1</v>
      </c>
      <c r="B10" s="3" t="s">
        <v>9</v>
      </c>
      <c r="C10" s="1">
        <v>712</v>
      </c>
      <c r="D10" t="s">
        <v>4</v>
      </c>
      <c r="E10" t="s">
        <v>38</v>
      </c>
      <c r="G10" s="11">
        <v>144.4</v>
      </c>
      <c r="I10">
        <v>119.5</v>
      </c>
    </row>
    <row r="11" spans="1:12" x14ac:dyDescent="0.25">
      <c r="A11">
        <v>1</v>
      </c>
      <c r="B11" s="3" t="s">
        <v>10</v>
      </c>
      <c r="C11" s="1">
        <v>713</v>
      </c>
      <c r="D11" t="s">
        <v>2</v>
      </c>
      <c r="E11" t="s">
        <v>37</v>
      </c>
      <c r="G11" s="11">
        <v>328.5</v>
      </c>
      <c r="I11">
        <v>289</v>
      </c>
    </row>
    <row r="12" spans="1:12" x14ac:dyDescent="0.25">
      <c r="A12">
        <v>1</v>
      </c>
      <c r="B12" s="3" t="s">
        <v>10</v>
      </c>
      <c r="C12" s="1">
        <v>713</v>
      </c>
      <c r="D12" t="s">
        <v>3</v>
      </c>
      <c r="E12" t="s">
        <v>37</v>
      </c>
      <c r="G12" s="11">
        <v>200.1</v>
      </c>
      <c r="I12">
        <v>172.8</v>
      </c>
    </row>
    <row r="13" spans="1:12" x14ac:dyDescent="0.25">
      <c r="A13">
        <v>1</v>
      </c>
      <c r="B13" s="3" t="s">
        <v>10</v>
      </c>
      <c r="C13" s="1">
        <v>713</v>
      </c>
      <c r="D13" t="s">
        <v>4</v>
      </c>
      <c r="E13" t="s">
        <v>37</v>
      </c>
      <c r="G13" s="11">
        <v>256.5</v>
      </c>
      <c r="I13">
        <v>222.8</v>
      </c>
    </row>
    <row r="14" spans="1:12" x14ac:dyDescent="0.25">
      <c r="A14">
        <v>1</v>
      </c>
      <c r="B14" s="3" t="s">
        <v>11</v>
      </c>
      <c r="C14" s="1">
        <v>714</v>
      </c>
      <c r="D14" t="s">
        <v>2</v>
      </c>
      <c r="E14" t="s">
        <v>37</v>
      </c>
      <c r="G14" s="11">
        <v>317.39999999999998</v>
      </c>
      <c r="I14">
        <v>274.8</v>
      </c>
    </row>
    <row r="15" spans="1:12" x14ac:dyDescent="0.25">
      <c r="A15">
        <v>1</v>
      </c>
      <c r="B15" s="3" t="s">
        <v>11</v>
      </c>
      <c r="C15" s="1">
        <v>714</v>
      </c>
      <c r="D15" t="s">
        <v>3</v>
      </c>
      <c r="E15" t="s">
        <v>37</v>
      </c>
      <c r="G15" s="11">
        <v>241.6</v>
      </c>
      <c r="I15">
        <v>210.3</v>
      </c>
    </row>
    <row r="16" spans="1:12" x14ac:dyDescent="0.25">
      <c r="A16">
        <v>1</v>
      </c>
      <c r="B16" s="3" t="s">
        <v>11</v>
      </c>
      <c r="C16" s="1">
        <v>714</v>
      </c>
      <c r="D16" t="s">
        <v>4</v>
      </c>
      <c r="E16" t="s">
        <v>37</v>
      </c>
      <c r="G16" s="11">
        <v>212</v>
      </c>
      <c r="I16">
        <v>184.9</v>
      </c>
    </row>
    <row r="17" spans="1:12" x14ac:dyDescent="0.25">
      <c r="A17">
        <v>1</v>
      </c>
      <c r="B17" s="3" t="s">
        <v>12</v>
      </c>
      <c r="C17" s="1">
        <v>715</v>
      </c>
      <c r="D17" t="s">
        <v>2</v>
      </c>
      <c r="E17" t="s">
        <v>37</v>
      </c>
      <c r="G17" s="11">
        <v>210.3</v>
      </c>
      <c r="I17">
        <v>176.1</v>
      </c>
    </row>
    <row r="18" spans="1:12" x14ac:dyDescent="0.25">
      <c r="A18">
        <v>1</v>
      </c>
      <c r="B18" s="3" t="s">
        <v>12</v>
      </c>
      <c r="C18" s="1">
        <v>715</v>
      </c>
      <c r="D18" t="s">
        <v>3</v>
      </c>
      <c r="E18" t="s">
        <v>37</v>
      </c>
      <c r="G18" s="11">
        <v>189</v>
      </c>
      <c r="I18">
        <v>161.9</v>
      </c>
    </row>
    <row r="19" spans="1:12" x14ac:dyDescent="0.25">
      <c r="A19">
        <v>1</v>
      </c>
      <c r="B19" s="3" t="s">
        <v>12</v>
      </c>
      <c r="C19" s="1">
        <v>715</v>
      </c>
      <c r="D19" t="s">
        <v>4</v>
      </c>
      <c r="E19" t="s">
        <v>37</v>
      </c>
      <c r="G19" s="11">
        <v>229.8</v>
      </c>
      <c r="I19">
        <v>191.6</v>
      </c>
    </row>
    <row r="20" spans="1:12" x14ac:dyDescent="0.25">
      <c r="A20">
        <v>1</v>
      </c>
      <c r="B20" s="4" t="s">
        <v>6</v>
      </c>
      <c r="C20" s="2" t="s">
        <v>6</v>
      </c>
      <c r="D20" t="s">
        <v>2</v>
      </c>
      <c r="E20" t="s">
        <v>38</v>
      </c>
      <c r="G20" s="11">
        <v>180</v>
      </c>
      <c r="I20">
        <v>133.1</v>
      </c>
    </row>
    <row r="21" spans="1:12" x14ac:dyDescent="0.25">
      <c r="A21">
        <v>1</v>
      </c>
      <c r="B21" s="4" t="s">
        <v>6</v>
      </c>
      <c r="C21" s="2" t="s">
        <v>21</v>
      </c>
      <c r="D21" t="s">
        <v>3</v>
      </c>
      <c r="E21" t="s">
        <v>38</v>
      </c>
      <c r="G21" s="11">
        <v>153.1</v>
      </c>
      <c r="I21">
        <v>127.7</v>
      </c>
    </row>
    <row r="22" spans="1:12" x14ac:dyDescent="0.25">
      <c r="A22">
        <v>1</v>
      </c>
      <c r="B22" s="4" t="s">
        <v>6</v>
      </c>
      <c r="C22" s="2" t="s">
        <v>31</v>
      </c>
      <c r="D22" t="s">
        <v>4</v>
      </c>
      <c r="E22" t="s">
        <v>38</v>
      </c>
      <c r="G22" s="11">
        <v>143.19999999999999</v>
      </c>
      <c r="I22">
        <v>121.4</v>
      </c>
    </row>
    <row r="23" spans="1:12" x14ac:dyDescent="0.25">
      <c r="A23">
        <v>1</v>
      </c>
      <c r="B23" s="3" t="s">
        <v>13</v>
      </c>
      <c r="C23" s="1">
        <v>462</v>
      </c>
      <c r="D23" t="s">
        <v>2</v>
      </c>
      <c r="E23" t="s">
        <v>37</v>
      </c>
      <c r="H23" s="11">
        <v>373</v>
      </c>
      <c r="I23">
        <v>329.2</v>
      </c>
    </row>
    <row r="24" spans="1:12" x14ac:dyDescent="0.25">
      <c r="A24">
        <v>1</v>
      </c>
      <c r="B24" s="3" t="s">
        <v>13</v>
      </c>
      <c r="C24" s="1">
        <v>462</v>
      </c>
      <c r="D24" t="s">
        <v>3</v>
      </c>
      <c r="E24" t="s">
        <v>37</v>
      </c>
      <c r="H24" s="11">
        <v>285.5</v>
      </c>
      <c r="I24">
        <v>246.5</v>
      </c>
    </row>
    <row r="25" spans="1:12" x14ac:dyDescent="0.25">
      <c r="A25">
        <v>1</v>
      </c>
      <c r="B25" s="3" t="s">
        <v>13</v>
      </c>
      <c r="C25" s="1">
        <v>462</v>
      </c>
      <c r="D25" t="s">
        <v>4</v>
      </c>
      <c r="E25" t="s">
        <v>37</v>
      </c>
      <c r="H25" s="11">
        <v>307.2</v>
      </c>
      <c r="I25">
        <v>272.60000000000002</v>
      </c>
    </row>
    <row r="26" spans="1:12" x14ac:dyDescent="0.25">
      <c r="A26">
        <v>1</v>
      </c>
      <c r="B26" s="4" t="s">
        <v>5</v>
      </c>
      <c r="C26" s="1">
        <v>709</v>
      </c>
      <c r="D26" t="s">
        <v>2</v>
      </c>
      <c r="E26" t="s">
        <v>38</v>
      </c>
      <c r="G26" s="11">
        <v>151.69999999999999</v>
      </c>
      <c r="I26">
        <v>123.1</v>
      </c>
    </row>
    <row r="27" spans="1:12" x14ac:dyDescent="0.25">
      <c r="A27">
        <v>1</v>
      </c>
      <c r="B27" s="4" t="s">
        <v>5</v>
      </c>
      <c r="C27" s="1">
        <v>709</v>
      </c>
      <c r="D27" t="s">
        <v>3</v>
      </c>
      <c r="E27" t="s">
        <v>38</v>
      </c>
      <c r="G27" s="11">
        <v>139.69999999999999</v>
      </c>
      <c r="I27">
        <v>119</v>
      </c>
    </row>
    <row r="28" spans="1:12" x14ac:dyDescent="0.25">
      <c r="A28">
        <v>1</v>
      </c>
      <c r="B28" s="4" t="s">
        <v>5</v>
      </c>
      <c r="C28" s="1">
        <v>709</v>
      </c>
      <c r="D28" t="s">
        <v>4</v>
      </c>
      <c r="E28" t="s">
        <v>38</v>
      </c>
      <c r="G28" s="11">
        <v>175.3</v>
      </c>
      <c r="I28">
        <v>153.30000000000001</v>
      </c>
    </row>
    <row r="29" spans="1:12" x14ac:dyDescent="0.25">
      <c r="A29">
        <v>1</v>
      </c>
      <c r="B29" s="3" t="s">
        <v>14</v>
      </c>
      <c r="C29" s="1">
        <v>463</v>
      </c>
      <c r="D29" t="s">
        <v>2</v>
      </c>
      <c r="E29" t="s">
        <v>37</v>
      </c>
      <c r="H29" s="11">
        <v>312.8</v>
      </c>
      <c r="I29">
        <v>271.89999999999998</v>
      </c>
      <c r="L29" s="16" t="s">
        <v>51</v>
      </c>
    </row>
    <row r="30" spans="1:12" x14ac:dyDescent="0.25">
      <c r="A30">
        <v>1</v>
      </c>
      <c r="B30" s="3" t="s">
        <v>14</v>
      </c>
      <c r="C30" s="1">
        <v>463</v>
      </c>
      <c r="D30" t="s">
        <v>3</v>
      </c>
      <c r="E30" t="s">
        <v>37</v>
      </c>
      <c r="H30" s="11">
        <v>236.5</v>
      </c>
      <c r="I30">
        <v>204.2</v>
      </c>
    </row>
    <row r="31" spans="1:12" x14ac:dyDescent="0.25">
      <c r="A31">
        <v>1</v>
      </c>
      <c r="B31" s="3" t="s">
        <v>14</v>
      </c>
      <c r="C31" s="1">
        <v>463</v>
      </c>
      <c r="D31" t="s">
        <v>4</v>
      </c>
      <c r="E31" t="s">
        <v>37</v>
      </c>
      <c r="H31" s="11">
        <v>261.7</v>
      </c>
      <c r="I31">
        <v>228.8</v>
      </c>
    </row>
    <row r="32" spans="1:12" x14ac:dyDescent="0.25">
      <c r="A32">
        <v>2</v>
      </c>
      <c r="B32" s="5" t="s">
        <v>15</v>
      </c>
      <c r="C32" s="1">
        <v>464</v>
      </c>
      <c r="D32" t="s">
        <v>2</v>
      </c>
      <c r="E32" t="s">
        <v>37</v>
      </c>
      <c r="H32" s="11">
        <v>302.89999999999998</v>
      </c>
      <c r="I32">
        <v>271.89999999999998</v>
      </c>
    </row>
    <row r="33" spans="1:12" x14ac:dyDescent="0.25">
      <c r="A33">
        <v>2</v>
      </c>
      <c r="B33" s="5" t="s">
        <v>15</v>
      </c>
      <c r="C33" s="1">
        <v>464</v>
      </c>
      <c r="D33" t="s">
        <v>3</v>
      </c>
      <c r="E33" t="s">
        <v>37</v>
      </c>
      <c r="H33" s="11">
        <v>270.2</v>
      </c>
      <c r="I33">
        <v>243.6</v>
      </c>
    </row>
    <row r="34" spans="1:12" x14ac:dyDescent="0.25">
      <c r="A34">
        <v>2</v>
      </c>
      <c r="B34" s="5" t="s">
        <v>15</v>
      </c>
      <c r="C34" s="1">
        <v>464</v>
      </c>
      <c r="D34" t="s">
        <v>4</v>
      </c>
      <c r="E34" t="s">
        <v>37</v>
      </c>
      <c r="H34" s="11">
        <v>351.2</v>
      </c>
      <c r="I34">
        <v>320.3</v>
      </c>
    </row>
    <row r="35" spans="1:12" x14ac:dyDescent="0.25">
      <c r="A35">
        <v>2</v>
      </c>
      <c r="B35" s="5" t="s">
        <v>16</v>
      </c>
      <c r="C35" s="1">
        <v>465</v>
      </c>
      <c r="D35" t="s">
        <v>2</v>
      </c>
      <c r="E35" t="s">
        <v>37</v>
      </c>
      <c r="H35" s="11">
        <v>322.3</v>
      </c>
      <c r="I35">
        <v>286.60000000000002</v>
      </c>
    </row>
    <row r="36" spans="1:12" x14ac:dyDescent="0.25">
      <c r="A36">
        <v>2</v>
      </c>
      <c r="B36" s="5" t="s">
        <v>16</v>
      </c>
      <c r="C36" s="1">
        <v>465</v>
      </c>
      <c r="D36" t="s">
        <v>3</v>
      </c>
      <c r="E36" t="s">
        <v>37</v>
      </c>
      <c r="H36" s="11">
        <v>384.3</v>
      </c>
      <c r="I36">
        <v>336.8</v>
      </c>
    </row>
    <row r="37" spans="1:12" x14ac:dyDescent="0.25">
      <c r="A37">
        <v>2</v>
      </c>
      <c r="B37" s="5" t="s">
        <v>16</v>
      </c>
      <c r="C37" s="1">
        <v>465</v>
      </c>
      <c r="D37" t="s">
        <v>4</v>
      </c>
      <c r="E37" t="s">
        <v>37</v>
      </c>
      <c r="H37" s="11">
        <v>422.7</v>
      </c>
      <c r="I37">
        <v>378.7</v>
      </c>
    </row>
    <row r="38" spans="1:12" x14ac:dyDescent="0.25">
      <c r="A38">
        <v>2</v>
      </c>
      <c r="B38" s="5" t="s">
        <v>17</v>
      </c>
      <c r="C38" s="1">
        <v>466</v>
      </c>
      <c r="D38" t="s">
        <v>2</v>
      </c>
      <c r="E38" t="s">
        <v>37</v>
      </c>
      <c r="H38" s="11">
        <v>424</v>
      </c>
      <c r="I38">
        <v>378.1</v>
      </c>
    </row>
    <row r="39" spans="1:12" x14ac:dyDescent="0.25">
      <c r="A39">
        <v>2</v>
      </c>
      <c r="B39" s="5" t="s">
        <v>17</v>
      </c>
      <c r="C39" s="1">
        <v>466</v>
      </c>
      <c r="D39" t="s">
        <v>3</v>
      </c>
      <c r="E39" t="s">
        <v>37</v>
      </c>
      <c r="H39" s="11">
        <v>350.9</v>
      </c>
      <c r="I39">
        <v>306.2</v>
      </c>
    </row>
    <row r="40" spans="1:12" x14ac:dyDescent="0.25">
      <c r="A40">
        <v>2</v>
      </c>
      <c r="B40" s="5" t="s">
        <v>17</v>
      </c>
      <c r="C40" s="1">
        <v>466</v>
      </c>
      <c r="D40" t="s">
        <v>4</v>
      </c>
      <c r="E40" t="s">
        <v>37</v>
      </c>
      <c r="H40" s="11">
        <v>336</v>
      </c>
      <c r="I40">
        <v>301.7</v>
      </c>
    </row>
    <row r="41" spans="1:12" x14ac:dyDescent="0.25">
      <c r="A41">
        <v>2</v>
      </c>
      <c r="B41" s="5" t="s">
        <v>18</v>
      </c>
      <c r="C41" s="1">
        <v>467</v>
      </c>
      <c r="D41" t="s">
        <v>2</v>
      </c>
      <c r="E41" t="s">
        <v>37</v>
      </c>
      <c r="H41" s="11">
        <v>515.9</v>
      </c>
      <c r="I41">
        <v>468.8</v>
      </c>
    </row>
    <row r="42" spans="1:12" x14ac:dyDescent="0.25">
      <c r="A42">
        <v>2</v>
      </c>
      <c r="B42" s="5" t="s">
        <v>18</v>
      </c>
      <c r="C42" s="1">
        <v>467</v>
      </c>
      <c r="D42" t="s">
        <v>3</v>
      </c>
      <c r="E42" t="s">
        <v>37</v>
      </c>
      <c r="H42" s="12">
        <v>331.9</v>
      </c>
      <c r="I42">
        <v>305.39999999999998</v>
      </c>
      <c r="L42" s="16" t="s">
        <v>50</v>
      </c>
    </row>
    <row r="43" spans="1:12" x14ac:dyDescent="0.25">
      <c r="A43">
        <v>2</v>
      </c>
      <c r="B43" s="5" t="s">
        <v>18</v>
      </c>
      <c r="C43" s="1">
        <v>467</v>
      </c>
      <c r="D43" t="s">
        <v>4</v>
      </c>
      <c r="E43" t="s">
        <v>37</v>
      </c>
      <c r="H43" s="11">
        <v>316.39999999999998</v>
      </c>
      <c r="I43">
        <v>293.10000000000002</v>
      </c>
    </row>
    <row r="44" spans="1:12" x14ac:dyDescent="0.25">
      <c r="A44">
        <v>2</v>
      </c>
      <c r="B44" s="5" t="s">
        <v>19</v>
      </c>
      <c r="C44" s="1">
        <v>468</v>
      </c>
      <c r="D44" t="s">
        <v>2</v>
      </c>
      <c r="E44" t="s">
        <v>37</v>
      </c>
      <c r="H44" s="11">
        <v>399.9</v>
      </c>
      <c r="I44">
        <v>359.1</v>
      </c>
    </row>
    <row r="45" spans="1:12" x14ac:dyDescent="0.25">
      <c r="A45">
        <v>2</v>
      </c>
      <c r="B45" s="5" t="s">
        <v>19</v>
      </c>
      <c r="C45" s="1">
        <v>468</v>
      </c>
      <c r="D45" t="s">
        <v>3</v>
      </c>
      <c r="E45" t="s">
        <v>37</v>
      </c>
      <c r="H45" s="11">
        <v>323.39999999999998</v>
      </c>
      <c r="I45">
        <v>288.89999999999998</v>
      </c>
    </row>
    <row r="46" spans="1:12" x14ac:dyDescent="0.25">
      <c r="A46">
        <v>2</v>
      </c>
      <c r="B46" s="5" t="s">
        <v>19</v>
      </c>
      <c r="C46" s="1">
        <v>468</v>
      </c>
      <c r="D46" t="s">
        <v>4</v>
      </c>
      <c r="E46" t="s">
        <v>37</v>
      </c>
      <c r="H46" s="11">
        <v>359</v>
      </c>
      <c r="I46">
        <v>324.39999999999998</v>
      </c>
    </row>
    <row r="47" spans="1:12" x14ac:dyDescent="0.25">
      <c r="A47">
        <v>2</v>
      </c>
      <c r="B47" s="5" t="s">
        <v>20</v>
      </c>
      <c r="C47" s="1">
        <v>469</v>
      </c>
      <c r="D47" t="s">
        <v>2</v>
      </c>
      <c r="E47" t="s">
        <v>37</v>
      </c>
      <c r="H47" s="11">
        <v>514.5</v>
      </c>
      <c r="I47">
        <v>472.7</v>
      </c>
    </row>
    <row r="48" spans="1:12" x14ac:dyDescent="0.25">
      <c r="A48">
        <v>2</v>
      </c>
      <c r="B48" s="5" t="s">
        <v>20</v>
      </c>
      <c r="C48" s="1">
        <v>469</v>
      </c>
      <c r="D48" t="s">
        <v>3</v>
      </c>
      <c r="E48" t="s">
        <v>37</v>
      </c>
      <c r="H48" s="11">
        <v>344.7</v>
      </c>
      <c r="I48">
        <v>315.10000000000002</v>
      </c>
    </row>
    <row r="49" spans="1:10" x14ac:dyDescent="0.25">
      <c r="A49">
        <v>2</v>
      </c>
      <c r="B49" s="5" t="s">
        <v>20</v>
      </c>
      <c r="C49" s="1">
        <v>469</v>
      </c>
      <c r="D49" t="s">
        <v>4</v>
      </c>
      <c r="E49" t="s">
        <v>37</v>
      </c>
      <c r="H49" s="11">
        <v>372</v>
      </c>
      <c r="I49">
        <v>335.2</v>
      </c>
    </row>
    <row r="50" spans="1:10" x14ac:dyDescent="0.25">
      <c r="A50">
        <v>2</v>
      </c>
      <c r="B50" s="5" t="s">
        <v>21</v>
      </c>
      <c r="C50" s="1">
        <v>716</v>
      </c>
      <c r="D50" t="s">
        <v>2</v>
      </c>
      <c r="E50" t="s">
        <v>37</v>
      </c>
      <c r="J50">
        <v>344.5</v>
      </c>
    </row>
    <row r="51" spans="1:10" x14ac:dyDescent="0.25">
      <c r="A51">
        <v>2</v>
      </c>
      <c r="B51" s="5" t="s">
        <v>21</v>
      </c>
      <c r="C51" s="1">
        <v>716</v>
      </c>
      <c r="D51" t="s">
        <v>3</v>
      </c>
      <c r="E51" t="s">
        <v>37</v>
      </c>
      <c r="J51">
        <v>324.8</v>
      </c>
    </row>
    <row r="52" spans="1:10" x14ac:dyDescent="0.25">
      <c r="A52">
        <v>2</v>
      </c>
      <c r="B52" s="5" t="s">
        <v>21</v>
      </c>
      <c r="C52" s="1">
        <v>716</v>
      </c>
      <c r="D52" t="s">
        <v>4</v>
      </c>
      <c r="E52" t="s">
        <v>37</v>
      </c>
      <c r="J52">
        <v>383.6</v>
      </c>
    </row>
    <row r="53" spans="1:10" x14ac:dyDescent="0.25">
      <c r="A53">
        <v>2</v>
      </c>
      <c r="B53" s="5" t="s">
        <v>22</v>
      </c>
      <c r="C53" s="1">
        <v>718</v>
      </c>
      <c r="D53" t="s">
        <v>2</v>
      </c>
      <c r="E53" t="s">
        <v>37</v>
      </c>
      <c r="J53">
        <v>370.1</v>
      </c>
    </row>
    <row r="54" spans="1:10" x14ac:dyDescent="0.25">
      <c r="A54">
        <v>2</v>
      </c>
      <c r="B54" s="5" t="s">
        <v>22</v>
      </c>
      <c r="C54" s="1">
        <v>718</v>
      </c>
      <c r="D54" t="s">
        <v>3</v>
      </c>
      <c r="E54" t="s">
        <v>37</v>
      </c>
      <c r="J54">
        <v>406.1</v>
      </c>
    </row>
    <row r="55" spans="1:10" x14ac:dyDescent="0.25">
      <c r="A55">
        <v>2</v>
      </c>
      <c r="B55" s="5" t="s">
        <v>22</v>
      </c>
      <c r="C55" s="1">
        <v>718</v>
      </c>
      <c r="D55" t="s">
        <v>4</v>
      </c>
      <c r="E55" t="s">
        <v>37</v>
      </c>
      <c r="J55">
        <v>458.1</v>
      </c>
    </row>
    <row r="56" spans="1:10" x14ac:dyDescent="0.25">
      <c r="A56">
        <v>2</v>
      </c>
      <c r="B56" s="5" t="s">
        <v>23</v>
      </c>
      <c r="C56" s="1">
        <v>719</v>
      </c>
      <c r="D56" t="s">
        <v>2</v>
      </c>
      <c r="E56" t="s">
        <v>37</v>
      </c>
      <c r="J56">
        <v>394</v>
      </c>
    </row>
    <row r="57" spans="1:10" x14ac:dyDescent="0.25">
      <c r="A57">
        <v>2</v>
      </c>
      <c r="B57" s="5" t="s">
        <v>23</v>
      </c>
      <c r="C57" s="1">
        <v>719</v>
      </c>
      <c r="D57" t="s">
        <v>3</v>
      </c>
      <c r="E57" t="s">
        <v>37</v>
      </c>
      <c r="J57">
        <v>397.5</v>
      </c>
    </row>
    <row r="58" spans="1:10" x14ac:dyDescent="0.25">
      <c r="A58">
        <v>2</v>
      </c>
      <c r="B58" s="5" t="s">
        <v>23</v>
      </c>
      <c r="C58" s="1">
        <v>719</v>
      </c>
      <c r="D58" t="s">
        <v>4</v>
      </c>
      <c r="E58" t="s">
        <v>37</v>
      </c>
      <c r="J58">
        <v>444.3</v>
      </c>
    </row>
    <row r="59" spans="1:10" x14ac:dyDescent="0.25">
      <c r="A59">
        <v>2</v>
      </c>
      <c r="B59" s="5" t="s">
        <v>24</v>
      </c>
      <c r="C59" s="1">
        <v>720</v>
      </c>
      <c r="D59" t="s">
        <v>2</v>
      </c>
      <c r="E59" t="s">
        <v>37</v>
      </c>
      <c r="J59">
        <v>447.2</v>
      </c>
    </row>
    <row r="60" spans="1:10" x14ac:dyDescent="0.25">
      <c r="A60">
        <v>2</v>
      </c>
      <c r="B60" s="5" t="s">
        <v>24</v>
      </c>
      <c r="C60" s="1">
        <v>720</v>
      </c>
      <c r="D60" t="s">
        <v>3</v>
      </c>
      <c r="E60" t="s">
        <v>37</v>
      </c>
      <c r="J60">
        <v>408</v>
      </c>
    </row>
    <row r="61" spans="1:10" x14ac:dyDescent="0.25">
      <c r="A61">
        <v>2</v>
      </c>
      <c r="B61" s="5" t="s">
        <v>24</v>
      </c>
      <c r="C61" s="1">
        <v>720</v>
      </c>
      <c r="D61" t="s">
        <v>4</v>
      </c>
      <c r="E61" t="s">
        <v>37</v>
      </c>
      <c r="J61">
        <v>417.2</v>
      </c>
    </row>
    <row r="62" spans="1:10" x14ac:dyDescent="0.25">
      <c r="A62">
        <v>3</v>
      </c>
      <c r="B62" s="6" t="s">
        <v>25</v>
      </c>
      <c r="C62" s="1">
        <v>721</v>
      </c>
      <c r="D62" t="s">
        <v>2</v>
      </c>
      <c r="E62" t="s">
        <v>37</v>
      </c>
      <c r="J62">
        <v>349.9</v>
      </c>
    </row>
    <row r="63" spans="1:10" x14ac:dyDescent="0.25">
      <c r="A63">
        <v>3</v>
      </c>
      <c r="B63" s="6" t="s">
        <v>25</v>
      </c>
      <c r="C63" s="1">
        <v>721</v>
      </c>
      <c r="D63" t="s">
        <v>3</v>
      </c>
      <c r="E63" t="s">
        <v>37</v>
      </c>
      <c r="J63">
        <v>369.3</v>
      </c>
    </row>
    <row r="64" spans="1:10" x14ac:dyDescent="0.25">
      <c r="A64">
        <v>3</v>
      </c>
      <c r="B64" s="6" t="s">
        <v>25</v>
      </c>
      <c r="C64" s="1">
        <v>721</v>
      </c>
      <c r="D64" t="s">
        <v>4</v>
      </c>
      <c r="E64" t="s">
        <v>37</v>
      </c>
      <c r="J64">
        <v>391.2</v>
      </c>
    </row>
    <row r="65" spans="1:11" x14ac:dyDescent="0.25">
      <c r="A65">
        <v>3</v>
      </c>
      <c r="B65" s="6" t="s">
        <v>26</v>
      </c>
      <c r="C65" s="1">
        <v>722</v>
      </c>
      <c r="D65" t="s">
        <v>2</v>
      </c>
      <c r="E65" t="s">
        <v>37</v>
      </c>
      <c r="J65">
        <v>343.5</v>
      </c>
    </row>
    <row r="66" spans="1:11" x14ac:dyDescent="0.25">
      <c r="A66">
        <v>3</v>
      </c>
      <c r="B66" s="6" t="s">
        <v>26</v>
      </c>
      <c r="C66" s="1">
        <v>722</v>
      </c>
      <c r="D66" t="s">
        <v>3</v>
      </c>
      <c r="E66" t="s">
        <v>37</v>
      </c>
      <c r="J66">
        <v>354.5</v>
      </c>
    </row>
    <row r="67" spans="1:11" x14ac:dyDescent="0.25">
      <c r="A67">
        <v>3</v>
      </c>
      <c r="B67" s="6" t="s">
        <v>26</v>
      </c>
      <c r="C67" s="1">
        <v>722</v>
      </c>
      <c r="D67" t="s">
        <v>4</v>
      </c>
      <c r="E67" t="s">
        <v>37</v>
      </c>
      <c r="J67">
        <v>412.7</v>
      </c>
    </row>
    <row r="68" spans="1:11" x14ac:dyDescent="0.25">
      <c r="A68">
        <v>3</v>
      </c>
      <c r="B68" s="6" t="s">
        <v>27</v>
      </c>
      <c r="C68" s="1">
        <v>723</v>
      </c>
      <c r="D68" t="s">
        <v>2</v>
      </c>
      <c r="E68" t="s">
        <v>37</v>
      </c>
      <c r="J68">
        <v>403.5</v>
      </c>
    </row>
    <row r="69" spans="1:11" x14ac:dyDescent="0.25">
      <c r="A69">
        <v>3</v>
      </c>
      <c r="B69" s="6" t="s">
        <v>27</v>
      </c>
      <c r="C69" s="1">
        <v>723</v>
      </c>
      <c r="D69" t="s">
        <v>3</v>
      </c>
      <c r="E69" t="s">
        <v>37</v>
      </c>
      <c r="J69">
        <v>439.4</v>
      </c>
    </row>
    <row r="70" spans="1:11" x14ac:dyDescent="0.25">
      <c r="A70">
        <v>3</v>
      </c>
      <c r="B70" s="6" t="s">
        <v>27</v>
      </c>
      <c r="C70" s="1">
        <v>723</v>
      </c>
      <c r="D70" t="s">
        <v>4</v>
      </c>
      <c r="E70" t="s">
        <v>37</v>
      </c>
      <c r="J70">
        <v>464.6</v>
      </c>
    </row>
    <row r="71" spans="1:11" x14ac:dyDescent="0.25">
      <c r="A71">
        <v>3</v>
      </c>
      <c r="B71" s="6" t="s">
        <v>28</v>
      </c>
      <c r="C71" s="1">
        <v>724</v>
      </c>
      <c r="D71" t="s">
        <v>2</v>
      </c>
      <c r="E71" t="s">
        <v>37</v>
      </c>
      <c r="K71">
        <v>455</v>
      </c>
    </row>
    <row r="72" spans="1:11" x14ac:dyDescent="0.25">
      <c r="A72">
        <v>3</v>
      </c>
      <c r="B72" s="6" t="s">
        <v>28</v>
      </c>
      <c r="C72" s="1">
        <v>724</v>
      </c>
      <c r="D72" t="s">
        <v>3</v>
      </c>
      <c r="E72" t="s">
        <v>37</v>
      </c>
      <c r="K72">
        <v>320.8</v>
      </c>
    </row>
    <row r="73" spans="1:11" x14ac:dyDescent="0.25">
      <c r="A73">
        <v>3</v>
      </c>
      <c r="B73" s="6" t="s">
        <v>28</v>
      </c>
      <c r="C73" s="1">
        <v>724</v>
      </c>
      <c r="D73" t="s">
        <v>4</v>
      </c>
      <c r="E73" t="s">
        <v>37</v>
      </c>
      <c r="K73">
        <v>350.4</v>
      </c>
    </row>
    <row r="74" spans="1:11" x14ac:dyDescent="0.25">
      <c r="A74">
        <v>3</v>
      </c>
      <c r="B74" s="6" t="s">
        <v>29</v>
      </c>
      <c r="C74" s="1">
        <v>725</v>
      </c>
      <c r="D74" t="s">
        <v>2</v>
      </c>
      <c r="E74" t="s">
        <v>52</v>
      </c>
      <c r="K74">
        <v>329.4</v>
      </c>
    </row>
    <row r="75" spans="1:11" x14ac:dyDescent="0.25">
      <c r="A75">
        <v>3</v>
      </c>
      <c r="B75" s="6" t="s">
        <v>29</v>
      </c>
      <c r="C75" s="1">
        <v>725</v>
      </c>
      <c r="D75" t="s">
        <v>3</v>
      </c>
      <c r="E75" t="s">
        <v>52</v>
      </c>
      <c r="K75">
        <v>321.3</v>
      </c>
    </row>
    <row r="76" spans="1:11" x14ac:dyDescent="0.25">
      <c r="A76">
        <v>3</v>
      </c>
      <c r="B76" s="6" t="s">
        <v>29</v>
      </c>
      <c r="C76" s="1">
        <v>725</v>
      </c>
      <c r="D76" t="s">
        <v>4</v>
      </c>
      <c r="E76" t="s">
        <v>52</v>
      </c>
      <c r="K76">
        <v>345.4</v>
      </c>
    </row>
    <row r="77" spans="1:11" x14ac:dyDescent="0.25">
      <c r="A77">
        <v>3</v>
      </c>
      <c r="B77" s="6" t="s">
        <v>30</v>
      </c>
      <c r="C77" s="1">
        <v>726</v>
      </c>
      <c r="D77" t="s">
        <v>2</v>
      </c>
      <c r="E77" t="s">
        <v>52</v>
      </c>
      <c r="K77">
        <v>402.5</v>
      </c>
    </row>
    <row r="78" spans="1:11" x14ac:dyDescent="0.25">
      <c r="A78">
        <v>3</v>
      </c>
      <c r="B78" s="6" t="s">
        <v>30</v>
      </c>
      <c r="C78" s="1">
        <v>726</v>
      </c>
      <c r="D78" t="s">
        <v>3</v>
      </c>
      <c r="E78" t="s">
        <v>52</v>
      </c>
      <c r="K78">
        <v>339.4</v>
      </c>
    </row>
    <row r="79" spans="1:11" x14ac:dyDescent="0.25">
      <c r="A79">
        <v>3</v>
      </c>
      <c r="B79" s="6" t="s">
        <v>30</v>
      </c>
      <c r="C79" s="1">
        <v>726</v>
      </c>
      <c r="D79" t="s">
        <v>4</v>
      </c>
      <c r="E79" t="s">
        <v>52</v>
      </c>
      <c r="K79">
        <v>341</v>
      </c>
    </row>
    <row r="80" spans="1:11" x14ac:dyDescent="0.25">
      <c r="A80">
        <v>3</v>
      </c>
      <c r="B80" s="6" t="s">
        <v>31</v>
      </c>
      <c r="C80" s="1">
        <v>727</v>
      </c>
      <c r="D80" t="s">
        <v>2</v>
      </c>
      <c r="E80" t="s">
        <v>52</v>
      </c>
      <c r="K80">
        <v>363.7</v>
      </c>
    </row>
    <row r="81" spans="1:11" x14ac:dyDescent="0.25">
      <c r="A81">
        <v>3</v>
      </c>
      <c r="B81" s="6" t="s">
        <v>31</v>
      </c>
      <c r="C81" s="1">
        <v>727</v>
      </c>
      <c r="D81" t="s">
        <v>3</v>
      </c>
      <c r="E81" t="s">
        <v>52</v>
      </c>
      <c r="K81">
        <v>343.4</v>
      </c>
    </row>
    <row r="82" spans="1:11" x14ac:dyDescent="0.25">
      <c r="A82">
        <v>3</v>
      </c>
      <c r="B82" s="6" t="s">
        <v>31</v>
      </c>
      <c r="C82" s="1">
        <v>727</v>
      </c>
      <c r="D82" t="s">
        <v>4</v>
      </c>
      <c r="E82" t="s">
        <v>52</v>
      </c>
      <c r="K82">
        <v>376.3</v>
      </c>
    </row>
    <row r="83" spans="1:11" x14ac:dyDescent="0.25">
      <c r="A83">
        <v>3</v>
      </c>
      <c r="B83" s="6" t="s">
        <v>32</v>
      </c>
      <c r="C83" s="1">
        <v>728</v>
      </c>
      <c r="D83" t="s">
        <v>2</v>
      </c>
      <c r="E83" t="s">
        <v>52</v>
      </c>
      <c r="K83">
        <v>299.5</v>
      </c>
    </row>
    <row r="84" spans="1:11" x14ac:dyDescent="0.25">
      <c r="A84">
        <v>3</v>
      </c>
      <c r="B84" s="6" t="s">
        <v>32</v>
      </c>
      <c r="C84" s="1">
        <v>728</v>
      </c>
      <c r="D84" t="s">
        <v>3</v>
      </c>
      <c r="E84" t="s">
        <v>52</v>
      </c>
      <c r="K84">
        <v>323.5</v>
      </c>
    </row>
    <row r="85" spans="1:11" x14ac:dyDescent="0.25">
      <c r="A85">
        <v>3</v>
      </c>
      <c r="B85" s="6" t="s">
        <v>32</v>
      </c>
      <c r="C85" s="1">
        <v>728</v>
      </c>
      <c r="D85" t="s">
        <v>4</v>
      </c>
      <c r="E85" t="s">
        <v>52</v>
      </c>
      <c r="K85">
        <v>342.9</v>
      </c>
    </row>
    <row r="86" spans="1:11" x14ac:dyDescent="0.25">
      <c r="A86">
        <v>3</v>
      </c>
      <c r="B86" s="6" t="s">
        <v>33</v>
      </c>
      <c r="C86" s="1">
        <v>729</v>
      </c>
      <c r="D86" t="s">
        <v>2</v>
      </c>
      <c r="E86" t="s">
        <v>52</v>
      </c>
      <c r="K86">
        <v>394.1</v>
      </c>
    </row>
    <row r="87" spans="1:11" x14ac:dyDescent="0.25">
      <c r="A87">
        <v>3</v>
      </c>
      <c r="B87" s="6" t="s">
        <v>33</v>
      </c>
      <c r="C87" s="1">
        <v>729</v>
      </c>
      <c r="D87" t="s">
        <v>3</v>
      </c>
      <c r="E87" t="s">
        <v>52</v>
      </c>
      <c r="K87">
        <v>349.5</v>
      </c>
    </row>
    <row r="88" spans="1:11" x14ac:dyDescent="0.25">
      <c r="A88">
        <v>3</v>
      </c>
      <c r="B88" s="6" t="s">
        <v>33</v>
      </c>
      <c r="C88" s="1">
        <v>729</v>
      </c>
      <c r="D88" t="s">
        <v>4</v>
      </c>
      <c r="E88" t="s">
        <v>52</v>
      </c>
      <c r="K88">
        <v>341.2</v>
      </c>
    </row>
    <row r="89" spans="1:11" x14ac:dyDescent="0.25">
      <c r="A89">
        <v>3</v>
      </c>
      <c r="B89" s="6" t="s">
        <v>34</v>
      </c>
      <c r="C89" s="1">
        <v>730</v>
      </c>
      <c r="D89" t="s">
        <v>2</v>
      </c>
      <c r="E89" t="s">
        <v>52</v>
      </c>
      <c r="K89">
        <v>363.4</v>
      </c>
    </row>
    <row r="90" spans="1:11" x14ac:dyDescent="0.25">
      <c r="A90">
        <v>3</v>
      </c>
      <c r="B90" s="6" t="s">
        <v>34</v>
      </c>
      <c r="C90" s="1">
        <v>730</v>
      </c>
      <c r="D90" t="s">
        <v>3</v>
      </c>
      <c r="E90" t="s">
        <v>52</v>
      </c>
      <c r="K90">
        <v>318.89999999999998</v>
      </c>
    </row>
    <row r="91" spans="1:11" x14ac:dyDescent="0.25">
      <c r="A91">
        <v>3</v>
      </c>
      <c r="B91" s="6" t="s">
        <v>34</v>
      </c>
      <c r="C91" s="1">
        <v>730</v>
      </c>
      <c r="D91" t="s">
        <v>4</v>
      </c>
      <c r="E91" t="s">
        <v>52</v>
      </c>
      <c r="K91">
        <v>325.39999999999998</v>
      </c>
    </row>
  </sheetData>
  <phoneticPr fontId="2" type="noConversion"/>
  <conditionalFormatting sqref="D1:D1048576">
    <cfRule type="containsText" dxfId="5" priority="1" operator="containsText" text="intermed">
      <formula>NOT(ISERROR(SEARCH("intermed",D1)))</formula>
    </cfRule>
    <cfRule type="containsText" dxfId="4" priority="2" operator="containsText" text="touffe">
      <formula>NOT(ISERROR(SEARCH("touffe",D1)))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93"/>
  <sheetViews>
    <sheetView workbookViewId="0">
      <selection sqref="A1:XFD1048576"/>
    </sheetView>
  </sheetViews>
  <sheetFormatPr baseColWidth="10" defaultRowHeight="15" x14ac:dyDescent="0.25"/>
  <cols>
    <col min="1" max="1" width="6.28515625" customWidth="1"/>
    <col min="2" max="2" width="5.7109375" customWidth="1"/>
    <col min="3" max="3" width="6.28515625" customWidth="1"/>
    <col min="4" max="4" width="9.7109375" customWidth="1"/>
    <col min="5" max="5" width="12.7109375" customWidth="1"/>
    <col min="6" max="6" width="7.85546875" customWidth="1"/>
    <col min="7" max="7" width="11.28515625" style="11" customWidth="1"/>
    <col min="8" max="17" width="13.85546875" customWidth="1"/>
    <col min="18" max="18" width="23.5703125" style="36" customWidth="1"/>
  </cols>
  <sheetData>
    <row r="1" spans="1:21" s="19" customFormat="1" ht="75" x14ac:dyDescent="0.25">
      <c r="A1" s="20" t="s">
        <v>0</v>
      </c>
      <c r="B1" s="20" t="s">
        <v>1</v>
      </c>
      <c r="C1" s="20" t="s">
        <v>35</v>
      </c>
      <c r="D1" s="20" t="s">
        <v>41</v>
      </c>
      <c r="E1" s="20" t="s">
        <v>40</v>
      </c>
      <c r="F1" s="20" t="s">
        <v>42</v>
      </c>
      <c r="G1" s="21" t="s">
        <v>54</v>
      </c>
      <c r="H1" s="20" t="s">
        <v>55</v>
      </c>
      <c r="I1" s="20" t="s">
        <v>56</v>
      </c>
      <c r="J1" s="20" t="s">
        <v>57</v>
      </c>
      <c r="K1" s="20" t="s">
        <v>59</v>
      </c>
      <c r="L1" s="20" t="s">
        <v>60</v>
      </c>
      <c r="M1" s="20" t="s">
        <v>61</v>
      </c>
      <c r="N1" s="20" t="s">
        <v>62</v>
      </c>
      <c r="O1" s="20" t="s">
        <v>64</v>
      </c>
      <c r="P1" s="20" t="s">
        <v>65</v>
      </c>
      <c r="Q1" s="20" t="s">
        <v>66</v>
      </c>
      <c r="R1" s="22" t="s">
        <v>47</v>
      </c>
      <c r="T1" s="49" t="s">
        <v>63</v>
      </c>
    </row>
    <row r="2" spans="1:21" x14ac:dyDescent="0.25">
      <c r="A2" s="23">
        <v>1</v>
      </c>
      <c r="B2" s="24" t="s">
        <v>8</v>
      </c>
      <c r="C2" s="25">
        <v>711</v>
      </c>
      <c r="D2" s="23" t="s">
        <v>2</v>
      </c>
      <c r="E2" s="23" t="s">
        <v>39</v>
      </c>
      <c r="F2" s="23"/>
      <c r="G2" s="26">
        <v>213.3</v>
      </c>
      <c r="H2" s="23">
        <v>180.2</v>
      </c>
      <c r="I2" s="23"/>
      <c r="J2" s="23">
        <v>174.1</v>
      </c>
      <c r="K2" s="23">
        <f>H2-J2</f>
        <v>6.0999999999999943</v>
      </c>
      <c r="L2" s="23">
        <v>172.5</v>
      </c>
      <c r="M2" s="23">
        <v>172.4</v>
      </c>
      <c r="N2" s="23">
        <f>(G2-M2)*100/G2</f>
        <v>19.174871073605253</v>
      </c>
      <c r="O2" s="23">
        <f>N2-N3</f>
        <v>2.9880161034803301</v>
      </c>
      <c r="P2" s="23"/>
      <c r="Q2" s="23"/>
      <c r="R2" s="35" t="s">
        <v>48</v>
      </c>
    </row>
    <row r="3" spans="1:21" x14ac:dyDescent="0.25">
      <c r="A3" s="23">
        <v>1</v>
      </c>
      <c r="B3" s="24" t="s">
        <v>8</v>
      </c>
      <c r="C3" s="25">
        <v>711</v>
      </c>
      <c r="D3" s="23" t="s">
        <v>3</v>
      </c>
      <c r="E3" s="23" t="s">
        <v>38</v>
      </c>
      <c r="F3" s="23"/>
      <c r="G3" s="26">
        <v>184.1</v>
      </c>
      <c r="H3" s="23">
        <v>157.4</v>
      </c>
      <c r="I3" s="23"/>
      <c r="J3" s="23">
        <v>155.69999999999999</v>
      </c>
      <c r="K3" s="23">
        <f t="shared" ref="K3:K49" si="0">H3-J3</f>
        <v>1.7000000000000171</v>
      </c>
      <c r="L3" s="23">
        <v>154.30000000000001</v>
      </c>
      <c r="M3" s="23">
        <v>154.30000000000001</v>
      </c>
      <c r="N3" s="23">
        <f t="shared" ref="N3:N66" si="1">(G3-M3)*100/G3</f>
        <v>16.186854970124923</v>
      </c>
      <c r="O3" s="23"/>
      <c r="P3" s="23">
        <f>N3-N4</f>
        <v>-0.12606194922013714</v>
      </c>
      <c r="Q3" s="23"/>
      <c r="R3" s="35"/>
    </row>
    <row r="4" spans="1:21" x14ac:dyDescent="0.25">
      <c r="A4" s="23">
        <v>1</v>
      </c>
      <c r="B4" s="24" t="s">
        <v>8</v>
      </c>
      <c r="C4" s="25">
        <v>711</v>
      </c>
      <c r="D4" s="23" t="s">
        <v>4</v>
      </c>
      <c r="E4" s="23" t="s">
        <v>38</v>
      </c>
      <c r="F4" s="23"/>
      <c r="G4" s="26">
        <v>164.9</v>
      </c>
      <c r="H4" s="23">
        <v>140.9</v>
      </c>
      <c r="I4" s="23"/>
      <c r="J4" s="23">
        <v>138.9</v>
      </c>
      <c r="K4" s="23">
        <f t="shared" si="0"/>
        <v>2</v>
      </c>
      <c r="L4" s="23">
        <v>138</v>
      </c>
      <c r="M4" s="23">
        <v>138</v>
      </c>
      <c r="N4" s="23">
        <f t="shared" si="1"/>
        <v>16.31291691934506</v>
      </c>
      <c r="O4" s="23"/>
      <c r="P4" s="23"/>
      <c r="Q4" s="23">
        <f>N4-N2</f>
        <v>-2.861954154260193</v>
      </c>
      <c r="R4" s="35"/>
    </row>
    <row r="5" spans="1:21" x14ac:dyDescent="0.25">
      <c r="A5" s="23">
        <v>1</v>
      </c>
      <c r="B5" s="27" t="s">
        <v>7</v>
      </c>
      <c r="C5" s="25">
        <v>710</v>
      </c>
      <c r="D5" s="23" t="s">
        <v>2</v>
      </c>
      <c r="E5" s="23" t="s">
        <v>38</v>
      </c>
      <c r="F5" s="23"/>
      <c r="G5" s="26">
        <v>193.9</v>
      </c>
      <c r="H5" s="23">
        <v>160.69999999999999</v>
      </c>
      <c r="I5" s="23"/>
      <c r="J5" s="23">
        <v>159.4</v>
      </c>
      <c r="K5" s="23">
        <f t="shared" si="0"/>
        <v>1.2999999999999829</v>
      </c>
      <c r="L5" s="23">
        <v>158.80000000000001</v>
      </c>
      <c r="M5" s="23">
        <v>158.69999999999999</v>
      </c>
      <c r="N5" s="23">
        <f t="shared" si="1"/>
        <v>18.1536874677669</v>
      </c>
      <c r="O5" s="23">
        <f>N5-N6</f>
        <v>4.1200740223887475</v>
      </c>
      <c r="P5" s="23"/>
      <c r="Q5" s="23"/>
      <c r="R5" s="35"/>
    </row>
    <row r="6" spans="1:21" x14ac:dyDescent="0.25">
      <c r="A6" s="23">
        <v>1</v>
      </c>
      <c r="B6" s="27" t="s">
        <v>7</v>
      </c>
      <c r="C6" s="25">
        <v>710</v>
      </c>
      <c r="D6" s="23" t="s">
        <v>3</v>
      </c>
      <c r="E6" s="23" t="s">
        <v>38</v>
      </c>
      <c r="F6" s="23"/>
      <c r="G6" s="26">
        <v>119</v>
      </c>
      <c r="H6" s="26">
        <v>103</v>
      </c>
      <c r="I6" s="26"/>
      <c r="J6" s="26">
        <v>102.4</v>
      </c>
      <c r="K6" s="23">
        <f t="shared" si="0"/>
        <v>0.59999999999999432</v>
      </c>
      <c r="L6" s="23">
        <v>102.3</v>
      </c>
      <c r="M6" s="23">
        <v>102.3</v>
      </c>
      <c r="N6" s="23">
        <f t="shared" si="1"/>
        <v>14.033613445378153</v>
      </c>
      <c r="O6" s="23"/>
      <c r="P6" s="23">
        <f>N6-N7</f>
        <v>-4.2597822296656727</v>
      </c>
      <c r="Q6" s="23"/>
      <c r="R6" s="35"/>
    </row>
    <row r="7" spans="1:21" ht="15.75" thickBot="1" x14ac:dyDescent="0.3">
      <c r="A7" s="23">
        <v>1</v>
      </c>
      <c r="B7" s="27" t="s">
        <v>7</v>
      </c>
      <c r="C7" s="25">
        <v>710</v>
      </c>
      <c r="D7" s="23" t="s">
        <v>4</v>
      </c>
      <c r="E7" s="23" t="s">
        <v>38</v>
      </c>
      <c r="F7" s="23"/>
      <c r="G7" s="26">
        <v>171.1</v>
      </c>
      <c r="H7" s="23">
        <v>142.1</v>
      </c>
      <c r="I7" s="23"/>
      <c r="J7" s="37">
        <v>140.6</v>
      </c>
      <c r="K7" s="23">
        <f t="shared" si="0"/>
        <v>1.5</v>
      </c>
      <c r="L7" s="23">
        <v>139.80000000000001</v>
      </c>
      <c r="M7" s="23">
        <v>139.80000000000001</v>
      </c>
      <c r="N7" s="23">
        <f t="shared" si="1"/>
        <v>18.293395675043826</v>
      </c>
      <c r="O7" s="23"/>
      <c r="P7" s="23"/>
      <c r="Q7" s="23">
        <f>N7-N5</f>
        <v>0.13970820727692512</v>
      </c>
      <c r="R7" s="35"/>
    </row>
    <row r="8" spans="1:21" ht="45" x14ac:dyDescent="0.25">
      <c r="A8" s="23">
        <v>1</v>
      </c>
      <c r="B8" s="24" t="s">
        <v>9</v>
      </c>
      <c r="C8" s="44">
        <v>712</v>
      </c>
      <c r="D8" s="23" t="s">
        <v>2</v>
      </c>
      <c r="E8" s="45" t="s">
        <v>38</v>
      </c>
      <c r="F8" s="45"/>
      <c r="G8" s="46">
        <v>239.2</v>
      </c>
      <c r="H8" s="45">
        <v>201.9</v>
      </c>
      <c r="I8" s="45">
        <v>199</v>
      </c>
      <c r="J8" s="47">
        <v>208.5</v>
      </c>
      <c r="K8" s="45">
        <f>H8-J8</f>
        <v>-6.5999999999999943</v>
      </c>
      <c r="L8" s="45">
        <v>207</v>
      </c>
      <c r="M8" s="45">
        <v>206.8</v>
      </c>
      <c r="N8" s="23"/>
      <c r="O8" s="23"/>
      <c r="P8" s="23"/>
      <c r="Q8" s="23"/>
      <c r="R8" s="48" t="s">
        <v>58</v>
      </c>
      <c r="U8" s="38" t="s">
        <v>53</v>
      </c>
    </row>
    <row r="9" spans="1:21" x14ac:dyDescent="0.25">
      <c r="A9" s="23">
        <v>1</v>
      </c>
      <c r="B9" s="24" t="s">
        <v>9</v>
      </c>
      <c r="C9" s="25">
        <v>712</v>
      </c>
      <c r="D9" s="23" t="s">
        <v>3</v>
      </c>
      <c r="E9" s="23" t="s">
        <v>38</v>
      </c>
      <c r="F9" s="23"/>
      <c r="G9" s="26">
        <v>144.30000000000001</v>
      </c>
      <c r="H9" s="23">
        <v>122.8</v>
      </c>
      <c r="I9" s="23"/>
      <c r="J9" s="37">
        <v>122.4</v>
      </c>
      <c r="K9" s="23">
        <f t="shared" si="0"/>
        <v>0.39999999999999147</v>
      </c>
      <c r="L9" s="23">
        <v>121.7</v>
      </c>
      <c r="M9" s="23">
        <v>121.6</v>
      </c>
      <c r="N9" s="23">
        <f t="shared" si="1"/>
        <v>15.731115731115743</v>
      </c>
      <c r="O9" s="23"/>
      <c r="P9" s="23">
        <f>N9-N10</f>
        <v>-2.3436765126515766</v>
      </c>
      <c r="Q9" s="23"/>
      <c r="R9" s="35"/>
      <c r="U9" s="39">
        <v>45146</v>
      </c>
    </row>
    <row r="10" spans="1:21" x14ac:dyDescent="0.25">
      <c r="A10" s="23">
        <v>1</v>
      </c>
      <c r="B10" s="24" t="s">
        <v>9</v>
      </c>
      <c r="C10" s="25">
        <v>712</v>
      </c>
      <c r="D10" s="23" t="s">
        <v>4</v>
      </c>
      <c r="E10" s="23" t="s">
        <v>38</v>
      </c>
      <c r="F10" s="23"/>
      <c r="G10" s="26">
        <v>144.4</v>
      </c>
      <c r="H10" s="23">
        <v>119.5</v>
      </c>
      <c r="I10" s="23"/>
      <c r="J10" s="37">
        <v>119</v>
      </c>
      <c r="K10" s="23">
        <f t="shared" si="0"/>
        <v>0.5</v>
      </c>
      <c r="L10" s="23">
        <v>118.3</v>
      </c>
      <c r="M10" s="23">
        <v>118.3</v>
      </c>
      <c r="N10" s="23">
        <f t="shared" si="1"/>
        <v>18.07479224376732</v>
      </c>
      <c r="O10" s="23"/>
      <c r="P10" s="23"/>
      <c r="Q10" s="23"/>
      <c r="R10" s="35"/>
      <c r="U10" s="40">
        <v>45147</v>
      </c>
    </row>
    <row r="11" spans="1:21" x14ac:dyDescent="0.25">
      <c r="A11" s="23">
        <v>1</v>
      </c>
      <c r="B11" s="24" t="s">
        <v>10</v>
      </c>
      <c r="C11" s="25">
        <v>713</v>
      </c>
      <c r="D11" s="23" t="s">
        <v>2</v>
      </c>
      <c r="E11" s="23" t="s">
        <v>37</v>
      </c>
      <c r="F11" s="23"/>
      <c r="G11" s="26">
        <v>328.5</v>
      </c>
      <c r="H11" s="23">
        <v>289</v>
      </c>
      <c r="I11" s="23">
        <v>281.2</v>
      </c>
      <c r="J11" s="37">
        <v>277.5</v>
      </c>
      <c r="K11" s="23">
        <f t="shared" si="0"/>
        <v>11.5</v>
      </c>
      <c r="L11" s="23">
        <v>276.2</v>
      </c>
      <c r="M11" s="23">
        <v>276</v>
      </c>
      <c r="N11" s="23">
        <f t="shared" si="1"/>
        <v>15.981735159817351</v>
      </c>
      <c r="O11" s="23">
        <f>N11-N12</f>
        <v>0.18963121179136522</v>
      </c>
      <c r="P11" s="23"/>
      <c r="Q11" s="23"/>
      <c r="R11" s="35"/>
      <c r="U11" s="41">
        <v>45154</v>
      </c>
    </row>
    <row r="12" spans="1:21" ht="15.75" thickBot="1" x14ac:dyDescent="0.3">
      <c r="A12" s="23">
        <v>1</v>
      </c>
      <c r="B12" s="24" t="s">
        <v>10</v>
      </c>
      <c r="C12" s="25">
        <v>713</v>
      </c>
      <c r="D12" s="23" t="s">
        <v>3</v>
      </c>
      <c r="E12" s="23" t="s">
        <v>37</v>
      </c>
      <c r="F12" s="23"/>
      <c r="G12" s="26">
        <v>200.1</v>
      </c>
      <c r="H12" s="23">
        <v>172.8</v>
      </c>
      <c r="I12" s="23"/>
      <c r="J12" s="23">
        <v>169.7</v>
      </c>
      <c r="K12" s="23">
        <f t="shared" si="0"/>
        <v>3.1000000000000227</v>
      </c>
      <c r="L12" s="23">
        <v>168.9</v>
      </c>
      <c r="M12" s="23">
        <v>168.5</v>
      </c>
      <c r="N12" s="23">
        <f t="shared" si="1"/>
        <v>15.792103948025986</v>
      </c>
      <c r="O12" s="23"/>
      <c r="P12" s="23">
        <f>N12-N13</f>
        <v>-0.69912412214945618</v>
      </c>
      <c r="Q12" s="23"/>
      <c r="R12" s="35"/>
      <c r="U12" s="42">
        <v>45156</v>
      </c>
    </row>
    <row r="13" spans="1:21" x14ac:dyDescent="0.25">
      <c r="A13" s="23">
        <v>1</v>
      </c>
      <c r="B13" s="24" t="s">
        <v>10</v>
      </c>
      <c r="C13" s="25">
        <v>713</v>
      </c>
      <c r="D13" s="23" t="s">
        <v>4</v>
      </c>
      <c r="E13" s="23" t="s">
        <v>37</v>
      </c>
      <c r="F13" s="23"/>
      <c r="G13" s="26">
        <v>256.5</v>
      </c>
      <c r="H13" s="23">
        <v>222.8</v>
      </c>
      <c r="I13" s="23">
        <v>218.1</v>
      </c>
      <c r="J13" s="23">
        <v>215.4</v>
      </c>
      <c r="K13" s="23">
        <f t="shared" si="0"/>
        <v>7.4000000000000057</v>
      </c>
      <c r="L13" s="23">
        <v>214.1</v>
      </c>
      <c r="M13" s="23">
        <v>214.2</v>
      </c>
      <c r="N13" s="23">
        <f t="shared" si="1"/>
        <v>16.491228070175442</v>
      </c>
      <c r="O13" s="23"/>
      <c r="P13" s="23"/>
      <c r="Q13" s="23">
        <f>N13-N11</f>
        <v>0.50949291035809097</v>
      </c>
      <c r="R13" s="35"/>
    </row>
    <row r="14" spans="1:21" x14ac:dyDescent="0.25">
      <c r="A14" s="23">
        <v>1</v>
      </c>
      <c r="B14" s="24" t="s">
        <v>11</v>
      </c>
      <c r="C14" s="25">
        <v>714</v>
      </c>
      <c r="D14" s="23" t="s">
        <v>2</v>
      </c>
      <c r="E14" s="23" t="s">
        <v>37</v>
      </c>
      <c r="F14" s="23"/>
      <c r="G14" s="26">
        <v>317.39999999999998</v>
      </c>
      <c r="H14" s="23">
        <v>274.8</v>
      </c>
      <c r="I14" s="23"/>
      <c r="J14" s="23">
        <v>265.5</v>
      </c>
      <c r="K14" s="23">
        <f t="shared" si="0"/>
        <v>9.3000000000000114</v>
      </c>
      <c r="L14" s="23">
        <v>262.60000000000002</v>
      </c>
      <c r="M14" s="23">
        <v>262.2</v>
      </c>
      <c r="N14" s="23">
        <f t="shared" si="1"/>
        <v>17.391304347826086</v>
      </c>
      <c r="O14" s="23">
        <f>N14-N15</f>
        <v>1.1247480564353651</v>
      </c>
      <c r="P14" s="23"/>
      <c r="Q14" s="23"/>
      <c r="R14" s="35"/>
    </row>
    <row r="15" spans="1:21" x14ac:dyDescent="0.25">
      <c r="A15" s="23">
        <v>1</v>
      </c>
      <c r="B15" s="24" t="s">
        <v>11</v>
      </c>
      <c r="C15" s="25">
        <v>714</v>
      </c>
      <c r="D15" s="23" t="s">
        <v>3</v>
      </c>
      <c r="E15" s="23" t="s">
        <v>37</v>
      </c>
      <c r="F15" s="23"/>
      <c r="G15" s="26">
        <v>241.6</v>
      </c>
      <c r="H15" s="23">
        <v>210.3</v>
      </c>
      <c r="I15" s="23"/>
      <c r="J15" s="23">
        <v>203.8</v>
      </c>
      <c r="K15" s="23">
        <f t="shared" si="0"/>
        <v>6.5</v>
      </c>
      <c r="L15" s="23">
        <v>202.5</v>
      </c>
      <c r="M15" s="23">
        <v>202.3</v>
      </c>
      <c r="N15" s="23">
        <f t="shared" si="1"/>
        <v>16.266556291390721</v>
      </c>
      <c r="O15" s="23"/>
      <c r="P15" s="23">
        <f>N15-N16</f>
        <v>0.70051855554166487</v>
      </c>
      <c r="Q15" s="23"/>
      <c r="R15" s="35"/>
    </row>
    <row r="16" spans="1:21" x14ac:dyDescent="0.25">
      <c r="A16" s="23">
        <v>1</v>
      </c>
      <c r="B16" s="24" t="s">
        <v>11</v>
      </c>
      <c r="C16" s="25">
        <v>714</v>
      </c>
      <c r="D16" s="23" t="s">
        <v>4</v>
      </c>
      <c r="E16" s="23" t="s">
        <v>37</v>
      </c>
      <c r="F16" s="23"/>
      <c r="G16" s="26">
        <v>212</v>
      </c>
      <c r="H16" s="23">
        <v>184.9</v>
      </c>
      <c r="I16" s="23">
        <v>182.7</v>
      </c>
      <c r="J16" s="23">
        <v>180.4</v>
      </c>
      <c r="K16" s="23">
        <f t="shared" si="0"/>
        <v>4.5</v>
      </c>
      <c r="L16" s="23">
        <v>179.1</v>
      </c>
      <c r="M16" s="23">
        <v>179</v>
      </c>
      <c r="N16" s="23">
        <f t="shared" si="1"/>
        <v>15.566037735849056</v>
      </c>
      <c r="O16" s="23"/>
      <c r="P16" s="23"/>
      <c r="Q16" s="23">
        <f>N16-N14</f>
        <v>-1.82526661197703</v>
      </c>
      <c r="R16" s="35"/>
    </row>
    <row r="17" spans="1:18" x14ac:dyDescent="0.25">
      <c r="A17" s="23">
        <v>1</v>
      </c>
      <c r="B17" s="24" t="s">
        <v>12</v>
      </c>
      <c r="C17" s="25">
        <v>715</v>
      </c>
      <c r="D17" s="23" t="s">
        <v>2</v>
      </c>
      <c r="E17" s="23" t="s">
        <v>37</v>
      </c>
      <c r="F17" s="23"/>
      <c r="G17" s="26">
        <v>210.3</v>
      </c>
      <c r="H17" s="23">
        <v>176.1</v>
      </c>
      <c r="I17" s="23">
        <v>177.3</v>
      </c>
      <c r="J17" s="23">
        <v>175.3</v>
      </c>
      <c r="K17" s="23">
        <f t="shared" si="0"/>
        <v>0.79999999999998295</v>
      </c>
      <c r="L17" s="23">
        <v>173.9</v>
      </c>
      <c r="M17" s="23">
        <v>173.6</v>
      </c>
      <c r="N17" s="23">
        <f t="shared" si="1"/>
        <v>17.451260104612466</v>
      </c>
      <c r="O17" s="23">
        <f>N17-N18</f>
        <v>0.94332359667596322</v>
      </c>
      <c r="P17" s="23"/>
      <c r="Q17" s="23"/>
      <c r="R17" s="35"/>
    </row>
    <row r="18" spans="1:18" x14ac:dyDescent="0.25">
      <c r="A18" s="23">
        <v>1</v>
      </c>
      <c r="B18" s="24" t="s">
        <v>12</v>
      </c>
      <c r="C18" s="25">
        <v>715</v>
      </c>
      <c r="D18" s="23" t="s">
        <v>3</v>
      </c>
      <c r="E18" s="23" t="s">
        <v>37</v>
      </c>
      <c r="F18" s="23"/>
      <c r="G18" s="26">
        <v>189</v>
      </c>
      <c r="H18" s="23">
        <v>161.9</v>
      </c>
      <c r="I18" s="23"/>
      <c r="J18" s="23">
        <v>159.4</v>
      </c>
      <c r="K18" s="23">
        <f t="shared" si="0"/>
        <v>2.5</v>
      </c>
      <c r="L18" s="23">
        <v>158.30000000000001</v>
      </c>
      <c r="M18" s="23">
        <v>157.80000000000001</v>
      </c>
      <c r="N18" s="23">
        <f t="shared" si="1"/>
        <v>16.507936507936503</v>
      </c>
      <c r="O18" s="23"/>
      <c r="P18" s="23">
        <f>N18-N19</f>
        <v>-1.8123419951096302</v>
      </c>
      <c r="Q18" s="23"/>
      <c r="R18" s="35"/>
    </row>
    <row r="19" spans="1:18" x14ac:dyDescent="0.25">
      <c r="A19" s="23">
        <v>1</v>
      </c>
      <c r="B19" s="24" t="s">
        <v>12</v>
      </c>
      <c r="C19" s="25">
        <v>715</v>
      </c>
      <c r="D19" s="23" t="s">
        <v>4</v>
      </c>
      <c r="E19" s="23" t="s">
        <v>37</v>
      </c>
      <c r="F19" s="23"/>
      <c r="G19" s="26">
        <v>229.8</v>
      </c>
      <c r="H19" s="23">
        <v>191.6</v>
      </c>
      <c r="I19" s="23">
        <v>191.4</v>
      </c>
      <c r="J19" s="23">
        <v>189.2</v>
      </c>
      <c r="K19" s="23">
        <f t="shared" si="0"/>
        <v>2.4000000000000057</v>
      </c>
      <c r="L19" s="23">
        <v>188</v>
      </c>
      <c r="M19" s="23">
        <v>187.7</v>
      </c>
      <c r="N19" s="23">
        <f t="shared" si="1"/>
        <v>18.320278503046133</v>
      </c>
      <c r="O19" s="23"/>
      <c r="P19" s="23"/>
      <c r="Q19" s="23">
        <f>N19-N17</f>
        <v>0.86901839843366702</v>
      </c>
      <c r="R19" s="35"/>
    </row>
    <row r="20" spans="1:18" x14ac:dyDescent="0.25">
      <c r="A20" s="23">
        <v>1</v>
      </c>
      <c r="B20" s="27" t="s">
        <v>6</v>
      </c>
      <c r="C20" s="28" t="s">
        <v>6</v>
      </c>
      <c r="D20" s="23" t="s">
        <v>2</v>
      </c>
      <c r="E20" s="23" t="s">
        <v>38</v>
      </c>
      <c r="F20" s="23"/>
      <c r="G20" s="26">
        <v>180</v>
      </c>
      <c r="H20" s="23">
        <v>133.1</v>
      </c>
      <c r="I20" s="23"/>
      <c r="J20" s="23">
        <v>131.6</v>
      </c>
      <c r="K20" s="23">
        <f t="shared" si="0"/>
        <v>1.5</v>
      </c>
      <c r="L20" s="23">
        <v>131.19999999999999</v>
      </c>
      <c r="M20" s="23">
        <v>131</v>
      </c>
      <c r="N20" s="23">
        <f t="shared" si="1"/>
        <v>27.222222222222221</v>
      </c>
      <c r="O20" s="23">
        <f>N20-N21</f>
        <v>9.0641555991000828</v>
      </c>
      <c r="P20" s="23"/>
      <c r="Q20" s="23"/>
      <c r="R20" s="35"/>
    </row>
    <row r="21" spans="1:18" x14ac:dyDescent="0.25">
      <c r="A21" s="23">
        <v>1</v>
      </c>
      <c r="B21" s="27" t="s">
        <v>6</v>
      </c>
      <c r="C21" s="28" t="s">
        <v>21</v>
      </c>
      <c r="D21" s="23" t="s">
        <v>3</v>
      </c>
      <c r="E21" s="23" t="s">
        <v>38</v>
      </c>
      <c r="F21" s="23"/>
      <c r="G21" s="26">
        <v>153.1</v>
      </c>
      <c r="H21" s="23">
        <v>127.7</v>
      </c>
      <c r="I21" s="23"/>
      <c r="J21" s="23">
        <v>125.7</v>
      </c>
      <c r="K21" s="23">
        <f t="shared" si="0"/>
        <v>2</v>
      </c>
      <c r="L21" s="23">
        <v>125.3</v>
      </c>
      <c r="M21" s="23">
        <v>125.3</v>
      </c>
      <c r="N21" s="23">
        <f t="shared" si="1"/>
        <v>18.158066623122139</v>
      </c>
      <c r="O21" s="23"/>
      <c r="P21" s="23">
        <f>N21-N22</f>
        <v>0.97929567340147017</v>
      </c>
      <c r="Q21" s="23"/>
      <c r="R21" s="35"/>
    </row>
    <row r="22" spans="1:18" x14ac:dyDescent="0.25">
      <c r="A22" s="23">
        <v>1</v>
      </c>
      <c r="B22" s="27" t="s">
        <v>6</v>
      </c>
      <c r="C22" s="28" t="s">
        <v>31</v>
      </c>
      <c r="D22" s="23" t="s">
        <v>4</v>
      </c>
      <c r="E22" s="23" t="s">
        <v>38</v>
      </c>
      <c r="F22" s="23"/>
      <c r="G22" s="26">
        <v>143.19999999999999</v>
      </c>
      <c r="H22" s="23">
        <v>121.4</v>
      </c>
      <c r="I22" s="23"/>
      <c r="J22" s="23">
        <v>119.5</v>
      </c>
      <c r="K22" s="23">
        <f t="shared" si="0"/>
        <v>1.9000000000000057</v>
      </c>
      <c r="L22" s="23">
        <v>118.7</v>
      </c>
      <c r="M22" s="23">
        <v>118.6</v>
      </c>
      <c r="N22" s="23">
        <f t="shared" si="1"/>
        <v>17.178770949720668</v>
      </c>
      <c r="O22" s="23"/>
      <c r="P22" s="23"/>
      <c r="Q22" s="23">
        <f>N22-N20</f>
        <v>-10.043451272501553</v>
      </c>
      <c r="R22" s="35"/>
    </row>
    <row r="23" spans="1:18" x14ac:dyDescent="0.25">
      <c r="A23" s="23">
        <v>1</v>
      </c>
      <c r="B23" s="24" t="s">
        <v>13</v>
      </c>
      <c r="C23" s="25">
        <v>462</v>
      </c>
      <c r="D23" s="23" t="s">
        <v>2</v>
      </c>
      <c r="E23" s="23" t="s">
        <v>37</v>
      </c>
      <c r="F23" s="23"/>
      <c r="G23" s="29">
        <v>373</v>
      </c>
      <c r="H23" s="23">
        <v>329.2</v>
      </c>
      <c r="I23" s="23"/>
      <c r="J23" s="23">
        <v>316.8</v>
      </c>
      <c r="K23" s="23">
        <f t="shared" si="0"/>
        <v>12.399999999999977</v>
      </c>
      <c r="L23" s="23">
        <v>314.2</v>
      </c>
      <c r="M23" s="23">
        <v>314</v>
      </c>
      <c r="N23" s="23">
        <f t="shared" si="1"/>
        <v>15.817694369973191</v>
      </c>
      <c r="O23" s="23">
        <f>N23-N24</f>
        <v>0.47618824037598984</v>
      </c>
      <c r="P23" s="23"/>
      <c r="Q23" s="23"/>
      <c r="R23" s="35"/>
    </row>
    <row r="24" spans="1:18" x14ac:dyDescent="0.25">
      <c r="A24" s="23">
        <v>1</v>
      </c>
      <c r="B24" s="24" t="s">
        <v>13</v>
      </c>
      <c r="C24" s="25">
        <v>462</v>
      </c>
      <c r="D24" s="23" t="s">
        <v>3</v>
      </c>
      <c r="E24" s="23" t="s">
        <v>37</v>
      </c>
      <c r="F24" s="23"/>
      <c r="G24" s="29">
        <v>285.5</v>
      </c>
      <c r="H24" s="23">
        <v>246.5</v>
      </c>
      <c r="I24" s="23"/>
      <c r="J24" s="23">
        <v>243.6</v>
      </c>
      <c r="K24" s="23">
        <f t="shared" si="0"/>
        <v>2.9000000000000057</v>
      </c>
      <c r="L24" s="23">
        <v>242</v>
      </c>
      <c r="M24" s="23">
        <v>241.7</v>
      </c>
      <c r="N24" s="23">
        <f t="shared" si="1"/>
        <v>15.341506129597201</v>
      </c>
      <c r="O24" s="23"/>
      <c r="P24" s="23">
        <f>N24-N25</f>
        <v>1.2464540462638638</v>
      </c>
      <c r="Q24" s="23"/>
      <c r="R24" s="35"/>
    </row>
    <row r="25" spans="1:18" x14ac:dyDescent="0.25">
      <c r="A25" s="23">
        <v>1</v>
      </c>
      <c r="B25" s="24" t="s">
        <v>13</v>
      </c>
      <c r="C25" s="25">
        <v>462</v>
      </c>
      <c r="D25" s="23" t="s">
        <v>4</v>
      </c>
      <c r="E25" s="23" t="s">
        <v>37</v>
      </c>
      <c r="F25" s="23"/>
      <c r="G25" s="29">
        <v>307.2</v>
      </c>
      <c r="H25" s="23">
        <v>272.60000000000002</v>
      </c>
      <c r="I25" s="23"/>
      <c r="J25" s="23">
        <v>265.8</v>
      </c>
      <c r="K25" s="23">
        <f t="shared" si="0"/>
        <v>6.8000000000000114</v>
      </c>
      <c r="L25" s="23">
        <v>264</v>
      </c>
      <c r="M25" s="23">
        <v>263.89999999999998</v>
      </c>
      <c r="N25" s="23">
        <f t="shared" si="1"/>
        <v>14.095052083333337</v>
      </c>
      <c r="O25" s="23"/>
      <c r="P25" s="23"/>
      <c r="Q25" s="23">
        <f>N25-N23</f>
        <v>-1.7226422866398536</v>
      </c>
      <c r="R25" s="35"/>
    </row>
    <row r="26" spans="1:18" x14ac:dyDescent="0.25">
      <c r="A26" s="23">
        <v>1</v>
      </c>
      <c r="B26" s="27" t="s">
        <v>5</v>
      </c>
      <c r="C26" s="25">
        <v>709</v>
      </c>
      <c r="D26" s="23" t="s">
        <v>2</v>
      </c>
      <c r="E26" s="23" t="s">
        <v>38</v>
      </c>
      <c r="F26" s="23"/>
      <c r="G26" s="26">
        <v>151.69999999999999</v>
      </c>
      <c r="H26" s="23">
        <v>123.1</v>
      </c>
      <c r="I26" s="23"/>
      <c r="J26" s="23">
        <v>121.8</v>
      </c>
      <c r="K26" s="23">
        <f t="shared" si="0"/>
        <v>1.2999999999999972</v>
      </c>
      <c r="L26" s="23">
        <v>120.8</v>
      </c>
      <c r="M26" s="23">
        <v>120.7</v>
      </c>
      <c r="N26" s="23">
        <f t="shared" si="1"/>
        <v>20.435069215557014</v>
      </c>
      <c r="O26" s="23">
        <f>N26-N27</f>
        <v>4.1143820287281052</v>
      </c>
      <c r="P26" s="23"/>
      <c r="Q26" s="23"/>
      <c r="R26" s="35"/>
    </row>
    <row r="27" spans="1:18" x14ac:dyDescent="0.25">
      <c r="A27" s="23">
        <v>1</v>
      </c>
      <c r="B27" s="27" t="s">
        <v>5</v>
      </c>
      <c r="C27" s="25">
        <v>709</v>
      </c>
      <c r="D27" s="23" t="s">
        <v>3</v>
      </c>
      <c r="E27" s="23" t="s">
        <v>38</v>
      </c>
      <c r="F27" s="23"/>
      <c r="G27" s="26">
        <v>139.69999999999999</v>
      </c>
      <c r="H27" s="23">
        <v>119</v>
      </c>
      <c r="I27" s="23"/>
      <c r="J27" s="23">
        <v>117.3</v>
      </c>
      <c r="K27" s="23">
        <f t="shared" si="0"/>
        <v>1.7000000000000028</v>
      </c>
      <c r="L27" s="23">
        <v>117.1</v>
      </c>
      <c r="M27" s="23">
        <v>116.9</v>
      </c>
      <c r="N27" s="23">
        <f t="shared" si="1"/>
        <v>16.320687186828909</v>
      </c>
      <c r="O27" s="23"/>
      <c r="P27" s="23">
        <f>N27-N28</f>
        <v>1.1466997367433294</v>
      </c>
      <c r="Q27" s="23"/>
      <c r="R27" s="35"/>
    </row>
    <row r="28" spans="1:18" x14ac:dyDescent="0.25">
      <c r="A28" s="23">
        <v>1</v>
      </c>
      <c r="B28" s="27" t="s">
        <v>5</v>
      </c>
      <c r="C28" s="25">
        <v>709</v>
      </c>
      <c r="D28" s="23" t="s">
        <v>4</v>
      </c>
      <c r="E28" s="23" t="s">
        <v>38</v>
      </c>
      <c r="F28" s="23"/>
      <c r="G28" s="26">
        <v>175.3</v>
      </c>
      <c r="H28" s="23">
        <v>153.30000000000001</v>
      </c>
      <c r="I28" s="23">
        <v>151.9</v>
      </c>
      <c r="J28" s="23">
        <v>149.80000000000001</v>
      </c>
      <c r="K28" s="23">
        <f t="shared" si="0"/>
        <v>3.5</v>
      </c>
      <c r="L28" s="23">
        <v>148.69999999999999</v>
      </c>
      <c r="M28" s="23">
        <v>148.69999999999999</v>
      </c>
      <c r="N28" s="23">
        <f t="shared" si="1"/>
        <v>15.17398745008558</v>
      </c>
      <c r="O28" s="23"/>
      <c r="P28" s="23"/>
      <c r="Q28" s="23">
        <f>N28-N26</f>
        <v>-5.2610817654714346</v>
      </c>
      <c r="R28" s="35"/>
    </row>
    <row r="29" spans="1:18" ht="45" x14ac:dyDescent="0.25">
      <c r="A29" s="23">
        <v>1</v>
      </c>
      <c r="B29" s="24" t="s">
        <v>14</v>
      </c>
      <c r="C29" s="25">
        <v>463</v>
      </c>
      <c r="D29" s="23" t="s">
        <v>2</v>
      </c>
      <c r="E29" s="23" t="s">
        <v>37</v>
      </c>
      <c r="F29" s="23"/>
      <c r="G29" s="29">
        <v>312.8</v>
      </c>
      <c r="H29" s="23">
        <v>271.89999999999998</v>
      </c>
      <c r="I29" s="23"/>
      <c r="J29" s="23">
        <v>208.2</v>
      </c>
      <c r="K29" s="23">
        <f t="shared" si="0"/>
        <v>63.699999999999989</v>
      </c>
      <c r="L29" s="23">
        <v>206.3</v>
      </c>
      <c r="M29" s="23">
        <v>206</v>
      </c>
      <c r="N29" s="23"/>
      <c r="O29" s="23"/>
      <c r="P29" s="23"/>
      <c r="Q29" s="23"/>
      <c r="R29" s="35" t="s">
        <v>51</v>
      </c>
    </row>
    <row r="30" spans="1:18" x14ac:dyDescent="0.25">
      <c r="A30" s="23">
        <v>1</v>
      </c>
      <c r="B30" s="24" t="s">
        <v>14</v>
      </c>
      <c r="C30" s="25">
        <v>463</v>
      </c>
      <c r="D30" s="23" t="s">
        <v>3</v>
      </c>
      <c r="E30" s="23" t="s">
        <v>37</v>
      </c>
      <c r="F30" s="23"/>
      <c r="G30" s="29">
        <v>236.5</v>
      </c>
      <c r="H30" s="23">
        <v>204.2</v>
      </c>
      <c r="I30" s="23">
        <v>201.2</v>
      </c>
      <c r="J30" s="23">
        <v>198.8</v>
      </c>
      <c r="K30" s="23">
        <f t="shared" si="0"/>
        <v>5.3999999999999773</v>
      </c>
      <c r="L30" s="23">
        <v>197.3</v>
      </c>
      <c r="M30" s="23">
        <v>197</v>
      </c>
      <c r="N30" s="23">
        <f t="shared" si="1"/>
        <v>16.701902748414376</v>
      </c>
      <c r="O30" s="23"/>
      <c r="P30" s="23">
        <f>N30-N31</f>
        <v>-0.49335900168115288</v>
      </c>
      <c r="Q30" s="23"/>
      <c r="R30" s="35"/>
    </row>
    <row r="31" spans="1:18" x14ac:dyDescent="0.25">
      <c r="A31" s="23">
        <v>1</v>
      </c>
      <c r="B31" s="24" t="s">
        <v>14</v>
      </c>
      <c r="C31" s="25">
        <v>463</v>
      </c>
      <c r="D31" s="23" t="s">
        <v>4</v>
      </c>
      <c r="E31" s="23" t="s">
        <v>37</v>
      </c>
      <c r="F31" s="23"/>
      <c r="G31" s="29">
        <v>261.7</v>
      </c>
      <c r="H31" s="23">
        <v>228.8</v>
      </c>
      <c r="I31" s="23">
        <v>221.9</v>
      </c>
      <c r="J31" s="23">
        <v>219.1</v>
      </c>
      <c r="K31" s="23">
        <f t="shared" si="0"/>
        <v>9.7000000000000171</v>
      </c>
      <c r="L31" s="23">
        <v>216.9</v>
      </c>
      <c r="M31" s="23">
        <v>216.7</v>
      </c>
      <c r="N31" s="23">
        <f t="shared" si="1"/>
        <v>17.195261750095529</v>
      </c>
      <c r="O31" s="23"/>
      <c r="P31" s="23"/>
      <c r="Q31" s="23"/>
      <c r="R31" s="35"/>
    </row>
    <row r="32" spans="1:18" x14ac:dyDescent="0.25">
      <c r="A32" s="23">
        <v>2</v>
      </c>
      <c r="B32" s="30" t="s">
        <v>15</v>
      </c>
      <c r="C32" s="25">
        <v>464</v>
      </c>
      <c r="D32" s="23" t="s">
        <v>2</v>
      </c>
      <c r="E32" s="23" t="s">
        <v>37</v>
      </c>
      <c r="F32" s="23"/>
      <c r="G32" s="29">
        <v>302.89999999999998</v>
      </c>
      <c r="H32" s="23">
        <v>271.89999999999998</v>
      </c>
      <c r="I32" s="23">
        <v>271</v>
      </c>
      <c r="J32" s="23">
        <v>268.10000000000002</v>
      </c>
      <c r="K32" s="23">
        <f t="shared" si="0"/>
        <v>3.7999999999999545</v>
      </c>
      <c r="L32" s="23">
        <v>264.5</v>
      </c>
      <c r="M32" s="23">
        <v>264.2</v>
      </c>
      <c r="N32" s="23">
        <f t="shared" si="1"/>
        <v>12.776493892373718</v>
      </c>
      <c r="O32" s="23">
        <f>N32-N33</f>
        <v>1.6736071418185734</v>
      </c>
      <c r="P32" s="23"/>
      <c r="Q32" s="23"/>
      <c r="R32" s="35"/>
    </row>
    <row r="33" spans="1:18" x14ac:dyDescent="0.25">
      <c r="A33" s="23">
        <v>2</v>
      </c>
      <c r="B33" s="30" t="s">
        <v>15</v>
      </c>
      <c r="C33" s="25">
        <v>464</v>
      </c>
      <c r="D33" s="23" t="s">
        <v>3</v>
      </c>
      <c r="E33" s="23" t="s">
        <v>37</v>
      </c>
      <c r="F33" s="23"/>
      <c r="G33" s="29">
        <v>270.2</v>
      </c>
      <c r="H33" s="23">
        <v>243.6</v>
      </c>
      <c r="I33" s="23"/>
      <c r="J33" s="23">
        <v>242.7</v>
      </c>
      <c r="K33" s="23">
        <f t="shared" si="0"/>
        <v>0.90000000000000568</v>
      </c>
      <c r="L33" s="23">
        <v>240.4</v>
      </c>
      <c r="M33" s="23">
        <v>240.2</v>
      </c>
      <c r="N33" s="23">
        <f t="shared" si="1"/>
        <v>11.102886750555145</v>
      </c>
      <c r="O33" s="23"/>
      <c r="P33" s="23">
        <f>N33-N34</f>
        <v>-0.42900391003711036</v>
      </c>
      <c r="Q33" s="23"/>
      <c r="R33" s="35"/>
    </row>
    <row r="34" spans="1:18" x14ac:dyDescent="0.25">
      <c r="A34" s="23">
        <v>2</v>
      </c>
      <c r="B34" s="30" t="s">
        <v>15</v>
      </c>
      <c r="C34" s="25">
        <v>464</v>
      </c>
      <c r="D34" s="23" t="s">
        <v>4</v>
      </c>
      <c r="E34" s="23" t="s">
        <v>37</v>
      </c>
      <c r="F34" s="23"/>
      <c r="G34" s="29">
        <v>351.2</v>
      </c>
      <c r="H34" s="23">
        <v>320.3</v>
      </c>
      <c r="I34" s="23"/>
      <c r="J34" s="23">
        <v>314</v>
      </c>
      <c r="K34" s="23">
        <f t="shared" si="0"/>
        <v>6.3000000000000114</v>
      </c>
      <c r="L34" s="23">
        <v>311</v>
      </c>
      <c r="M34" s="23">
        <v>310.7</v>
      </c>
      <c r="N34" s="23">
        <f t="shared" si="1"/>
        <v>11.531890660592255</v>
      </c>
      <c r="O34" s="23"/>
      <c r="P34" s="23"/>
      <c r="Q34" s="23">
        <f>N34-N32</f>
        <v>-1.244603231781463</v>
      </c>
      <c r="R34" s="35"/>
    </row>
    <row r="35" spans="1:18" x14ac:dyDescent="0.25">
      <c r="A35" s="23">
        <v>2</v>
      </c>
      <c r="B35" s="30" t="s">
        <v>16</v>
      </c>
      <c r="C35" s="25">
        <v>465</v>
      </c>
      <c r="D35" s="23" t="s">
        <v>2</v>
      </c>
      <c r="E35" s="23" t="s">
        <v>37</v>
      </c>
      <c r="F35" s="23"/>
      <c r="G35" s="29">
        <v>322.3</v>
      </c>
      <c r="H35" s="23">
        <v>286.60000000000002</v>
      </c>
      <c r="I35" s="23"/>
      <c r="J35" s="23">
        <v>284.3</v>
      </c>
      <c r="K35" s="23">
        <f t="shared" si="0"/>
        <v>2.3000000000000114</v>
      </c>
      <c r="L35" s="23">
        <v>281.3</v>
      </c>
      <c r="M35" s="23">
        <v>281.2</v>
      </c>
      <c r="N35" s="23">
        <f t="shared" si="1"/>
        <v>12.752094322060197</v>
      </c>
      <c r="O35" s="23">
        <f>N35-N36</f>
        <v>-1.4035132761703615</v>
      </c>
      <c r="P35" s="23"/>
      <c r="Q35" s="23"/>
      <c r="R35" s="35"/>
    </row>
    <row r="36" spans="1:18" x14ac:dyDescent="0.25">
      <c r="A36" s="23">
        <v>2</v>
      </c>
      <c r="B36" s="30" t="s">
        <v>16</v>
      </c>
      <c r="C36" s="25">
        <v>465</v>
      </c>
      <c r="D36" s="23" t="s">
        <v>3</v>
      </c>
      <c r="E36" s="23" t="s">
        <v>37</v>
      </c>
      <c r="F36" s="23"/>
      <c r="G36" s="29">
        <v>384.3</v>
      </c>
      <c r="H36" s="23">
        <v>336.8</v>
      </c>
      <c r="I36" s="23">
        <v>336.8</v>
      </c>
      <c r="J36" s="23">
        <v>333.8</v>
      </c>
      <c r="K36" s="23">
        <f t="shared" si="0"/>
        <v>3</v>
      </c>
      <c r="L36" s="23">
        <v>330.5</v>
      </c>
      <c r="M36" s="23">
        <v>329.9</v>
      </c>
      <c r="N36" s="23">
        <f t="shared" si="1"/>
        <v>14.155607598230558</v>
      </c>
      <c r="O36" s="23"/>
      <c r="P36" s="23">
        <f>N36-N37</f>
        <v>8.458319782484125E-3</v>
      </c>
      <c r="Q36" s="23"/>
      <c r="R36" s="35"/>
    </row>
    <row r="37" spans="1:18" x14ac:dyDescent="0.25">
      <c r="A37" s="23">
        <v>2</v>
      </c>
      <c r="B37" s="30" t="s">
        <v>16</v>
      </c>
      <c r="C37" s="25">
        <v>465</v>
      </c>
      <c r="D37" s="23" t="s">
        <v>4</v>
      </c>
      <c r="E37" s="23" t="s">
        <v>37</v>
      </c>
      <c r="F37" s="23"/>
      <c r="G37" s="29">
        <v>422.7</v>
      </c>
      <c r="H37" s="23">
        <v>378.7</v>
      </c>
      <c r="I37" s="23"/>
      <c r="J37" s="23">
        <v>368.4</v>
      </c>
      <c r="K37" s="23">
        <f t="shared" si="0"/>
        <v>10.300000000000011</v>
      </c>
      <c r="L37" s="23">
        <v>363.1</v>
      </c>
      <c r="M37" s="23">
        <v>362.9</v>
      </c>
      <c r="N37" s="23">
        <f t="shared" si="1"/>
        <v>14.147149278448074</v>
      </c>
      <c r="O37" s="23"/>
      <c r="P37" s="23"/>
      <c r="Q37" s="23">
        <f>N37-N35</f>
        <v>1.3950549563878774</v>
      </c>
      <c r="R37" s="35"/>
    </row>
    <row r="38" spans="1:18" x14ac:dyDescent="0.25">
      <c r="A38" s="23">
        <v>2</v>
      </c>
      <c r="B38" s="30" t="s">
        <v>17</v>
      </c>
      <c r="C38" s="25">
        <v>466</v>
      </c>
      <c r="D38" s="23" t="s">
        <v>2</v>
      </c>
      <c r="E38" s="23" t="s">
        <v>37</v>
      </c>
      <c r="F38" s="23"/>
      <c r="G38" s="29">
        <v>424</v>
      </c>
      <c r="H38" s="23">
        <v>378.1</v>
      </c>
      <c r="I38" s="23"/>
      <c r="J38" s="23">
        <v>363.1</v>
      </c>
      <c r="K38" s="23">
        <f t="shared" si="0"/>
        <v>15</v>
      </c>
      <c r="L38" s="23">
        <v>359.1</v>
      </c>
      <c r="M38" s="23">
        <v>358.8</v>
      </c>
      <c r="N38" s="23">
        <f t="shared" si="1"/>
        <v>15.377358490566035</v>
      </c>
      <c r="O38" s="23">
        <f>N38-N39</f>
        <v>0.98579394226167416</v>
      </c>
      <c r="P38" s="23"/>
      <c r="Q38" s="23"/>
      <c r="R38" s="35"/>
    </row>
    <row r="39" spans="1:18" x14ac:dyDescent="0.25">
      <c r="A39" s="23">
        <v>2</v>
      </c>
      <c r="B39" s="30" t="s">
        <v>17</v>
      </c>
      <c r="C39" s="25">
        <v>466</v>
      </c>
      <c r="D39" s="23" t="s">
        <v>3</v>
      </c>
      <c r="E39" s="23" t="s">
        <v>37</v>
      </c>
      <c r="F39" s="23"/>
      <c r="G39" s="29">
        <v>350.9</v>
      </c>
      <c r="H39" s="23">
        <v>306.2</v>
      </c>
      <c r="I39" s="23"/>
      <c r="J39" s="23">
        <v>303</v>
      </c>
      <c r="K39" s="23">
        <f t="shared" si="0"/>
        <v>3.1999999999999886</v>
      </c>
      <c r="L39" s="23">
        <v>300.60000000000002</v>
      </c>
      <c r="M39" s="23">
        <v>300.39999999999998</v>
      </c>
      <c r="N39" s="23">
        <f t="shared" si="1"/>
        <v>14.391564548304361</v>
      </c>
      <c r="O39" s="23"/>
      <c r="P39" s="23">
        <f>N39-N40</f>
        <v>0.28442169116150851</v>
      </c>
      <c r="Q39" s="23"/>
      <c r="R39" s="35"/>
    </row>
    <row r="40" spans="1:18" x14ac:dyDescent="0.25">
      <c r="A40" s="23">
        <v>2</v>
      </c>
      <c r="B40" s="30" t="s">
        <v>17</v>
      </c>
      <c r="C40" s="25">
        <v>466</v>
      </c>
      <c r="D40" s="23" t="s">
        <v>4</v>
      </c>
      <c r="E40" s="23" t="s">
        <v>37</v>
      </c>
      <c r="F40" s="23"/>
      <c r="G40" s="29">
        <v>336</v>
      </c>
      <c r="H40" s="23">
        <v>301.7</v>
      </c>
      <c r="I40" s="23"/>
      <c r="J40" s="23">
        <v>293.2</v>
      </c>
      <c r="K40" s="23">
        <f t="shared" si="0"/>
        <v>8.5</v>
      </c>
      <c r="L40" s="23">
        <v>288.89999999999998</v>
      </c>
      <c r="M40" s="23">
        <v>288.60000000000002</v>
      </c>
      <c r="N40" s="23">
        <f t="shared" si="1"/>
        <v>14.107142857142852</v>
      </c>
      <c r="O40" s="23"/>
      <c r="P40" s="23"/>
      <c r="Q40" s="23">
        <f>N40-N38</f>
        <v>-1.2702156334231827</v>
      </c>
      <c r="R40" s="35"/>
    </row>
    <row r="41" spans="1:18" x14ac:dyDescent="0.25">
      <c r="A41" s="23">
        <v>2</v>
      </c>
      <c r="B41" s="30" t="s">
        <v>18</v>
      </c>
      <c r="C41" s="25">
        <v>467</v>
      </c>
      <c r="D41" s="23" t="s">
        <v>2</v>
      </c>
      <c r="E41" s="23" t="s">
        <v>37</v>
      </c>
      <c r="F41" s="23"/>
      <c r="G41" s="29">
        <v>515.9</v>
      </c>
      <c r="H41" s="23">
        <v>468.8</v>
      </c>
      <c r="I41" s="23"/>
      <c r="J41" s="23">
        <v>453.5</v>
      </c>
      <c r="K41" s="23">
        <f t="shared" si="0"/>
        <v>15.300000000000011</v>
      </c>
      <c r="L41" s="23">
        <v>446.1</v>
      </c>
      <c r="M41" s="23">
        <v>445.7</v>
      </c>
      <c r="N41" s="23">
        <f t="shared" si="1"/>
        <v>13.607288234153904</v>
      </c>
      <c r="O41" s="23">
        <f>N41-N42</f>
        <v>2.3990929946239277</v>
      </c>
      <c r="P41" s="23"/>
      <c r="Q41" s="23"/>
      <c r="R41" s="35"/>
    </row>
    <row r="42" spans="1:18" x14ac:dyDescent="0.25">
      <c r="A42" s="23">
        <v>2</v>
      </c>
      <c r="B42" s="30" t="s">
        <v>18</v>
      </c>
      <c r="C42" s="25">
        <v>467</v>
      </c>
      <c r="D42" s="23" t="s">
        <v>3</v>
      </c>
      <c r="E42" s="23" t="s">
        <v>37</v>
      </c>
      <c r="F42" s="23"/>
      <c r="G42" s="31">
        <v>331.9</v>
      </c>
      <c r="H42" s="23">
        <v>305.39999999999998</v>
      </c>
      <c r="I42" s="23"/>
      <c r="J42" s="23">
        <v>298.89999999999998</v>
      </c>
      <c r="K42" s="23">
        <f t="shared" si="0"/>
        <v>6.5</v>
      </c>
      <c r="L42" s="23">
        <v>294.89999999999998</v>
      </c>
      <c r="M42" s="23">
        <v>294.7</v>
      </c>
      <c r="N42" s="23">
        <f t="shared" si="1"/>
        <v>11.208195239529976</v>
      </c>
      <c r="O42" s="23"/>
      <c r="P42" s="23">
        <f>N42-N43</f>
        <v>0.68354290071835955</v>
      </c>
      <c r="Q42" s="23"/>
      <c r="R42" s="35" t="s">
        <v>50</v>
      </c>
    </row>
    <row r="43" spans="1:18" x14ac:dyDescent="0.25">
      <c r="A43" s="23">
        <v>2</v>
      </c>
      <c r="B43" s="30" t="s">
        <v>18</v>
      </c>
      <c r="C43" s="25">
        <v>467</v>
      </c>
      <c r="D43" s="23" t="s">
        <v>4</v>
      </c>
      <c r="E43" s="23" t="s">
        <v>37</v>
      </c>
      <c r="F43" s="23"/>
      <c r="G43" s="29">
        <v>316.39999999999998</v>
      </c>
      <c r="H43" s="23">
        <v>293.10000000000002</v>
      </c>
      <c r="I43" s="23"/>
      <c r="J43" s="23">
        <v>285.5</v>
      </c>
      <c r="K43" s="23">
        <f t="shared" si="0"/>
        <v>7.6000000000000227</v>
      </c>
      <c r="L43" s="23">
        <v>283</v>
      </c>
      <c r="M43" s="23">
        <v>283.10000000000002</v>
      </c>
      <c r="N43" s="23">
        <f t="shared" si="1"/>
        <v>10.524652338811617</v>
      </c>
      <c r="O43" s="23"/>
      <c r="P43" s="23"/>
      <c r="Q43" s="23">
        <f>N43-N41</f>
        <v>-3.0826358953422872</v>
      </c>
      <c r="R43" s="35"/>
    </row>
    <row r="44" spans="1:18" x14ac:dyDescent="0.25">
      <c r="A44" s="23">
        <v>2</v>
      </c>
      <c r="B44" s="30" t="s">
        <v>19</v>
      </c>
      <c r="C44" s="25">
        <v>468</v>
      </c>
      <c r="D44" s="23" t="s">
        <v>2</v>
      </c>
      <c r="E44" s="23" t="s">
        <v>37</v>
      </c>
      <c r="F44" s="23"/>
      <c r="G44" s="29">
        <v>399.9</v>
      </c>
      <c r="H44" s="23">
        <v>359.1</v>
      </c>
      <c r="I44" s="23"/>
      <c r="J44" s="23">
        <v>347.2</v>
      </c>
      <c r="K44" s="23">
        <f t="shared" si="0"/>
        <v>11.900000000000034</v>
      </c>
      <c r="L44" s="23">
        <v>343.5</v>
      </c>
      <c r="M44" s="23">
        <v>342.8</v>
      </c>
      <c r="N44" s="23">
        <f t="shared" si="1"/>
        <v>14.278569642410595</v>
      </c>
      <c r="O44" s="23">
        <f>N44-N45</f>
        <v>1.7553785477909276</v>
      </c>
      <c r="P44" s="23"/>
      <c r="Q44" s="23"/>
      <c r="R44" s="35"/>
    </row>
    <row r="45" spans="1:18" x14ac:dyDescent="0.25">
      <c r="A45" s="23">
        <v>2</v>
      </c>
      <c r="B45" s="30" t="s">
        <v>19</v>
      </c>
      <c r="C45" s="25">
        <v>468</v>
      </c>
      <c r="D45" s="23" t="s">
        <v>3</v>
      </c>
      <c r="E45" s="23" t="s">
        <v>37</v>
      </c>
      <c r="F45" s="23"/>
      <c r="G45" s="29">
        <v>323.39999999999998</v>
      </c>
      <c r="H45" s="23">
        <v>288.89999999999998</v>
      </c>
      <c r="I45" s="23"/>
      <c r="J45" s="23">
        <v>286.3</v>
      </c>
      <c r="K45" s="23">
        <f t="shared" si="0"/>
        <v>2.5999999999999659</v>
      </c>
      <c r="L45" s="23">
        <v>283.10000000000002</v>
      </c>
      <c r="M45" s="23">
        <v>282.89999999999998</v>
      </c>
      <c r="N45" s="23">
        <f t="shared" si="1"/>
        <v>12.523191094619667</v>
      </c>
      <c r="O45" s="23"/>
      <c r="P45" s="23">
        <f>N45-N46</f>
        <v>-0.84728244298479005</v>
      </c>
      <c r="Q45" s="23"/>
      <c r="R45" s="35"/>
    </row>
    <row r="46" spans="1:18" x14ac:dyDescent="0.25">
      <c r="A46" s="23">
        <v>2</v>
      </c>
      <c r="B46" s="30" t="s">
        <v>19</v>
      </c>
      <c r="C46" s="25">
        <v>468</v>
      </c>
      <c r="D46" s="23" t="s">
        <v>4</v>
      </c>
      <c r="E46" s="23" t="s">
        <v>37</v>
      </c>
      <c r="F46" s="23"/>
      <c r="G46" s="29">
        <v>359</v>
      </c>
      <c r="H46" s="23">
        <v>324.39999999999998</v>
      </c>
      <c r="I46" s="23"/>
      <c r="J46" s="23">
        <v>314.10000000000002</v>
      </c>
      <c r="K46" s="23">
        <f t="shared" si="0"/>
        <v>10.299999999999955</v>
      </c>
      <c r="L46" s="23">
        <v>311.2</v>
      </c>
      <c r="M46" s="23">
        <v>311</v>
      </c>
      <c r="N46" s="23">
        <f t="shared" si="1"/>
        <v>13.370473537604457</v>
      </c>
      <c r="O46" s="23"/>
      <c r="P46" s="23"/>
      <c r="Q46" s="23">
        <f>N46-N44</f>
        <v>-0.90809610480613756</v>
      </c>
      <c r="R46" s="35"/>
    </row>
    <row r="47" spans="1:18" x14ac:dyDescent="0.25">
      <c r="A47" s="23">
        <v>2</v>
      </c>
      <c r="B47" s="30" t="s">
        <v>20</v>
      </c>
      <c r="C47" s="25">
        <v>469</v>
      </c>
      <c r="D47" s="23" t="s">
        <v>2</v>
      </c>
      <c r="E47" s="23" t="s">
        <v>37</v>
      </c>
      <c r="F47" s="23"/>
      <c r="G47" s="29">
        <v>514.5</v>
      </c>
      <c r="H47" s="23">
        <v>472.7</v>
      </c>
      <c r="I47" s="23"/>
      <c r="J47" s="23">
        <v>447.9</v>
      </c>
      <c r="K47" s="23">
        <f t="shared" si="0"/>
        <v>24.800000000000011</v>
      </c>
      <c r="L47" s="23">
        <v>440</v>
      </c>
      <c r="M47" s="23">
        <v>439.5</v>
      </c>
      <c r="N47" s="23">
        <f t="shared" si="1"/>
        <v>14.577259475218659</v>
      </c>
      <c r="O47" s="23">
        <f>N47-N48</f>
        <v>2.3347297392163409</v>
      </c>
      <c r="P47" s="23"/>
      <c r="Q47" s="23"/>
      <c r="R47" s="35"/>
    </row>
    <row r="48" spans="1:18" x14ac:dyDescent="0.25">
      <c r="A48" s="23">
        <v>2</v>
      </c>
      <c r="B48" s="30" t="s">
        <v>20</v>
      </c>
      <c r="C48" s="25">
        <v>469</v>
      </c>
      <c r="D48" s="23" t="s">
        <v>3</v>
      </c>
      <c r="E48" s="23" t="s">
        <v>37</v>
      </c>
      <c r="F48" s="23"/>
      <c r="G48" s="29">
        <v>344.7</v>
      </c>
      <c r="H48" s="23">
        <v>315.10000000000002</v>
      </c>
      <c r="I48" s="23">
        <v>308.10000000000002</v>
      </c>
      <c r="J48" s="23">
        <v>304.7</v>
      </c>
      <c r="K48" s="23">
        <f t="shared" si="0"/>
        <v>10.400000000000034</v>
      </c>
      <c r="L48" s="23">
        <v>302.39999999999998</v>
      </c>
      <c r="M48" s="23">
        <v>302.5</v>
      </c>
      <c r="N48" s="23">
        <f t="shared" si="1"/>
        <v>12.242529736002318</v>
      </c>
      <c r="O48" s="23"/>
      <c r="P48" s="23">
        <f>N48-N49</f>
        <v>-0.31123370485789437</v>
      </c>
      <c r="Q48" s="23"/>
      <c r="R48" s="35"/>
    </row>
    <row r="49" spans="1:18" x14ac:dyDescent="0.25">
      <c r="A49" s="23">
        <v>2</v>
      </c>
      <c r="B49" s="30" t="s">
        <v>20</v>
      </c>
      <c r="C49" s="25">
        <v>469</v>
      </c>
      <c r="D49" s="23" t="s">
        <v>4</v>
      </c>
      <c r="E49" s="23" t="s">
        <v>37</v>
      </c>
      <c r="F49" s="23"/>
      <c r="G49" s="29">
        <v>372</v>
      </c>
      <c r="H49" s="23">
        <v>335.2</v>
      </c>
      <c r="I49" s="23"/>
      <c r="J49" s="23">
        <v>329.8</v>
      </c>
      <c r="K49" s="23">
        <f t="shared" si="0"/>
        <v>5.3999999999999773</v>
      </c>
      <c r="L49" s="23">
        <v>325.60000000000002</v>
      </c>
      <c r="M49" s="23">
        <v>325.3</v>
      </c>
      <c r="N49" s="23">
        <f t="shared" si="1"/>
        <v>12.553763440860212</v>
      </c>
      <c r="O49" s="23"/>
      <c r="P49" s="23"/>
      <c r="Q49" s="23">
        <f>N49-N47</f>
        <v>-2.0234960343584465</v>
      </c>
      <c r="R49" s="35"/>
    </row>
    <row r="50" spans="1:18" x14ac:dyDescent="0.25">
      <c r="A50" s="23">
        <v>2</v>
      </c>
      <c r="B50" s="30" t="s">
        <v>21</v>
      </c>
      <c r="C50" s="25">
        <v>716</v>
      </c>
      <c r="D50" s="23" t="s">
        <v>2</v>
      </c>
      <c r="E50" s="23" t="s">
        <v>37</v>
      </c>
      <c r="F50" s="23"/>
      <c r="G50" s="32">
        <v>344.5</v>
      </c>
      <c r="H50" s="23"/>
      <c r="I50" s="23"/>
      <c r="J50" s="23">
        <v>302.10000000000002</v>
      </c>
      <c r="K50" s="23"/>
      <c r="L50" s="23">
        <v>294.39999999999998</v>
      </c>
      <c r="M50" s="23">
        <v>294.2</v>
      </c>
      <c r="N50" s="23">
        <f t="shared" si="1"/>
        <v>14.600870827285924</v>
      </c>
      <c r="O50" s="23">
        <f>N50-N51</f>
        <v>1.5158954578277957</v>
      </c>
      <c r="P50" s="23"/>
      <c r="Q50" s="23"/>
      <c r="R50" s="35"/>
    </row>
    <row r="51" spans="1:18" x14ac:dyDescent="0.25">
      <c r="A51" s="23">
        <v>2</v>
      </c>
      <c r="B51" s="30" t="s">
        <v>21</v>
      </c>
      <c r="C51" s="25">
        <v>716</v>
      </c>
      <c r="D51" s="23" t="s">
        <v>3</v>
      </c>
      <c r="E51" s="23" t="s">
        <v>37</v>
      </c>
      <c r="F51" s="23"/>
      <c r="G51" s="32">
        <v>324.8</v>
      </c>
      <c r="H51" s="23"/>
      <c r="I51" s="23"/>
      <c r="J51" s="23">
        <v>287.5</v>
      </c>
      <c r="K51" s="23"/>
      <c r="L51" s="23">
        <v>282.60000000000002</v>
      </c>
      <c r="M51" s="23">
        <v>282.3</v>
      </c>
      <c r="N51" s="23">
        <f t="shared" si="1"/>
        <v>13.084975369458128</v>
      </c>
      <c r="O51" s="23"/>
      <c r="P51" s="23">
        <f>N51-N52</f>
        <v>-1.9567347452446988</v>
      </c>
      <c r="Q51" s="23"/>
      <c r="R51" s="35"/>
    </row>
    <row r="52" spans="1:18" x14ac:dyDescent="0.25">
      <c r="A52" s="23">
        <v>2</v>
      </c>
      <c r="B52" s="30" t="s">
        <v>21</v>
      </c>
      <c r="C52" s="25">
        <v>716</v>
      </c>
      <c r="D52" s="23" t="s">
        <v>4</v>
      </c>
      <c r="E52" s="23" t="s">
        <v>37</v>
      </c>
      <c r="F52" s="23"/>
      <c r="G52" s="32">
        <v>383.6</v>
      </c>
      <c r="H52" s="23"/>
      <c r="I52" s="23"/>
      <c r="J52" s="23">
        <v>331.8</v>
      </c>
      <c r="K52" s="23"/>
      <c r="L52" s="23">
        <v>326.2</v>
      </c>
      <c r="M52" s="23">
        <v>325.89999999999998</v>
      </c>
      <c r="N52" s="23">
        <f t="shared" si="1"/>
        <v>15.041710114702827</v>
      </c>
      <c r="O52" s="23"/>
      <c r="P52" s="23"/>
      <c r="Q52" s="23">
        <f>N52-N50</f>
        <v>0.44083928741690315</v>
      </c>
      <c r="R52" s="35"/>
    </row>
    <row r="53" spans="1:18" x14ac:dyDescent="0.25">
      <c r="A53" s="23">
        <v>2</v>
      </c>
      <c r="B53" s="30" t="s">
        <v>22</v>
      </c>
      <c r="C53" s="25">
        <v>718</v>
      </c>
      <c r="D53" s="23" t="s">
        <v>2</v>
      </c>
      <c r="E53" s="23" t="s">
        <v>37</v>
      </c>
      <c r="F53" s="23"/>
      <c r="G53" s="32">
        <v>370.1</v>
      </c>
      <c r="H53" s="23"/>
      <c r="I53" s="23"/>
      <c r="J53" s="23">
        <v>304.39999999999998</v>
      </c>
      <c r="K53" s="23"/>
      <c r="L53" s="23">
        <v>299.89999999999998</v>
      </c>
      <c r="M53" s="23">
        <v>299.8</v>
      </c>
      <c r="N53" s="23">
        <f t="shared" si="1"/>
        <v>18.994866252364226</v>
      </c>
      <c r="O53" s="23">
        <f>N53-N54</f>
        <v>3.7030662031152684</v>
      </c>
      <c r="P53" s="23"/>
      <c r="Q53" s="23"/>
      <c r="R53" s="35"/>
    </row>
    <row r="54" spans="1:18" x14ac:dyDescent="0.25">
      <c r="A54" s="23">
        <v>2</v>
      </c>
      <c r="B54" s="30" t="s">
        <v>22</v>
      </c>
      <c r="C54" s="25">
        <v>718</v>
      </c>
      <c r="D54" s="23" t="s">
        <v>3</v>
      </c>
      <c r="E54" s="23" t="s">
        <v>37</v>
      </c>
      <c r="F54" s="23"/>
      <c r="G54" s="32">
        <v>406.1</v>
      </c>
      <c r="H54" s="23"/>
      <c r="I54" s="23">
        <v>369.9</v>
      </c>
      <c r="J54" s="23">
        <v>352.3</v>
      </c>
      <c r="K54" s="23"/>
      <c r="L54" s="23">
        <v>344.1</v>
      </c>
      <c r="M54" s="23">
        <v>344</v>
      </c>
      <c r="N54" s="23">
        <f t="shared" si="1"/>
        <v>15.291800049248957</v>
      </c>
      <c r="O54" s="23"/>
      <c r="P54" s="23">
        <f>N54-N55</f>
        <v>-0.55626805815117741</v>
      </c>
      <c r="Q54" s="23"/>
      <c r="R54" s="35"/>
    </row>
    <row r="55" spans="1:18" x14ac:dyDescent="0.25">
      <c r="A55" s="23">
        <v>2</v>
      </c>
      <c r="B55" s="30" t="s">
        <v>22</v>
      </c>
      <c r="C55" s="25">
        <v>718</v>
      </c>
      <c r="D55" s="23" t="s">
        <v>4</v>
      </c>
      <c r="E55" s="23" t="s">
        <v>37</v>
      </c>
      <c r="F55" s="23"/>
      <c r="G55" s="32">
        <v>458.1</v>
      </c>
      <c r="H55" s="23"/>
      <c r="I55" s="23"/>
      <c r="J55" s="23">
        <v>407.9</v>
      </c>
      <c r="K55" s="23"/>
      <c r="L55" s="23">
        <v>386.2</v>
      </c>
      <c r="M55" s="23">
        <v>385.5</v>
      </c>
      <c r="N55" s="23">
        <f t="shared" si="1"/>
        <v>15.848068107400135</v>
      </c>
      <c r="O55" s="23"/>
      <c r="P55" s="23"/>
      <c r="Q55" s="23">
        <f>N55-N53</f>
        <v>-3.1467981449640909</v>
      </c>
      <c r="R55" s="35"/>
    </row>
    <row r="56" spans="1:18" x14ac:dyDescent="0.25">
      <c r="A56" s="23">
        <v>2</v>
      </c>
      <c r="B56" s="30" t="s">
        <v>23</v>
      </c>
      <c r="C56" s="25">
        <v>719</v>
      </c>
      <c r="D56" s="23" t="s">
        <v>2</v>
      </c>
      <c r="E56" s="23" t="s">
        <v>37</v>
      </c>
      <c r="F56" s="23"/>
      <c r="G56" s="32">
        <v>394</v>
      </c>
      <c r="H56" s="23"/>
      <c r="I56" s="23"/>
      <c r="J56" s="23">
        <v>345.3</v>
      </c>
      <c r="K56" s="23"/>
      <c r="L56" s="23">
        <v>341.4</v>
      </c>
      <c r="M56" s="23">
        <v>341.4</v>
      </c>
      <c r="N56" s="23">
        <f t="shared" si="1"/>
        <v>13.350253807106604</v>
      </c>
      <c r="O56" s="23">
        <f>N56-N57</f>
        <v>1.1489959454713841</v>
      </c>
      <c r="P56" s="23"/>
      <c r="Q56" s="23"/>
      <c r="R56" s="35"/>
    </row>
    <row r="57" spans="1:18" x14ac:dyDescent="0.25">
      <c r="A57" s="23">
        <v>2</v>
      </c>
      <c r="B57" s="30" t="s">
        <v>23</v>
      </c>
      <c r="C57" s="25">
        <v>719</v>
      </c>
      <c r="D57" s="23" t="s">
        <v>3</v>
      </c>
      <c r="E57" s="23" t="s">
        <v>37</v>
      </c>
      <c r="F57" s="23"/>
      <c r="G57" s="32">
        <v>397.5</v>
      </c>
      <c r="H57" s="23"/>
      <c r="I57" s="23">
        <v>374.6</v>
      </c>
      <c r="J57" s="23">
        <v>360.8</v>
      </c>
      <c r="K57" s="23"/>
      <c r="L57" s="23">
        <v>349.6</v>
      </c>
      <c r="M57" s="23">
        <v>349</v>
      </c>
      <c r="N57" s="23">
        <f t="shared" si="1"/>
        <v>12.20125786163522</v>
      </c>
      <c r="O57" s="23"/>
      <c r="P57" s="23">
        <f>N57-N58</f>
        <v>-1.0780579159925079</v>
      </c>
      <c r="Q57" s="23"/>
      <c r="R57" s="35"/>
    </row>
    <row r="58" spans="1:18" x14ac:dyDescent="0.25">
      <c r="A58" s="23">
        <v>2</v>
      </c>
      <c r="B58" s="30" t="s">
        <v>23</v>
      </c>
      <c r="C58" s="25">
        <v>719</v>
      </c>
      <c r="D58" s="23" t="s">
        <v>4</v>
      </c>
      <c r="E58" s="23" t="s">
        <v>37</v>
      </c>
      <c r="F58" s="23"/>
      <c r="G58" s="32">
        <v>444.3</v>
      </c>
      <c r="H58" s="23"/>
      <c r="I58" s="23"/>
      <c r="J58" s="23">
        <v>396.2</v>
      </c>
      <c r="K58" s="23"/>
      <c r="L58" s="23">
        <v>386</v>
      </c>
      <c r="M58" s="23">
        <v>385.3</v>
      </c>
      <c r="N58" s="23">
        <f t="shared" si="1"/>
        <v>13.279315777627728</v>
      </c>
      <c r="O58" s="23"/>
      <c r="P58" s="23"/>
      <c r="Q58" s="23">
        <f>N58-N56</f>
        <v>-7.0938029478876174E-2</v>
      </c>
      <c r="R58" s="35"/>
    </row>
    <row r="59" spans="1:18" x14ac:dyDescent="0.25">
      <c r="A59" s="23">
        <v>2</v>
      </c>
      <c r="B59" s="30" t="s">
        <v>24</v>
      </c>
      <c r="C59" s="25">
        <v>720</v>
      </c>
      <c r="D59" s="23" t="s">
        <v>2</v>
      </c>
      <c r="E59" s="23" t="s">
        <v>37</v>
      </c>
      <c r="F59" s="23"/>
      <c r="G59" s="32">
        <v>447.2</v>
      </c>
      <c r="H59" s="23"/>
      <c r="I59" s="23"/>
      <c r="J59" s="23">
        <v>384.3</v>
      </c>
      <c r="K59" s="23"/>
      <c r="L59" s="23">
        <v>377.4</v>
      </c>
      <c r="M59" s="23">
        <v>377.3</v>
      </c>
      <c r="N59" s="23">
        <f t="shared" si="1"/>
        <v>15.630590339892661</v>
      </c>
      <c r="O59" s="23">
        <f>N59-N60</f>
        <v>1.7825511242063872</v>
      </c>
      <c r="P59" s="23"/>
      <c r="Q59" s="23"/>
      <c r="R59" s="35"/>
    </row>
    <row r="60" spans="1:18" x14ac:dyDescent="0.25">
      <c r="A60" s="23">
        <v>2</v>
      </c>
      <c r="B60" s="30" t="s">
        <v>24</v>
      </c>
      <c r="C60" s="25">
        <v>720</v>
      </c>
      <c r="D60" s="23" t="s">
        <v>3</v>
      </c>
      <c r="E60" s="23" t="s">
        <v>37</v>
      </c>
      <c r="F60" s="23"/>
      <c r="G60" s="32">
        <v>408</v>
      </c>
      <c r="H60" s="23"/>
      <c r="I60" s="23"/>
      <c r="J60" s="23">
        <v>358</v>
      </c>
      <c r="K60" s="23"/>
      <c r="L60" s="23">
        <v>351.6</v>
      </c>
      <c r="M60" s="23">
        <v>351.5</v>
      </c>
      <c r="N60" s="23">
        <f t="shared" si="1"/>
        <v>13.848039215686274</v>
      </c>
      <c r="O60" s="23"/>
      <c r="P60" s="23">
        <f>N60-N61</f>
        <v>0.66491361645329228</v>
      </c>
      <c r="Q60" s="23"/>
      <c r="R60" s="35"/>
    </row>
    <row r="61" spans="1:18" x14ac:dyDescent="0.25">
      <c r="A61" s="23">
        <v>2</v>
      </c>
      <c r="B61" s="30" t="s">
        <v>24</v>
      </c>
      <c r="C61" s="25">
        <v>720</v>
      </c>
      <c r="D61" s="23" t="s">
        <v>4</v>
      </c>
      <c r="E61" s="23" t="s">
        <v>37</v>
      </c>
      <c r="F61" s="23"/>
      <c r="G61" s="32">
        <v>417.2</v>
      </c>
      <c r="H61" s="23"/>
      <c r="I61" s="23"/>
      <c r="J61" s="23">
        <v>373.2</v>
      </c>
      <c r="K61" s="23"/>
      <c r="L61" s="23">
        <v>362.7</v>
      </c>
      <c r="M61" s="23">
        <v>362.2</v>
      </c>
      <c r="N61" s="23">
        <f t="shared" si="1"/>
        <v>13.183125599232982</v>
      </c>
      <c r="O61" s="23"/>
      <c r="P61" s="23"/>
      <c r="Q61" s="23">
        <f>N61-N59</f>
        <v>-2.4474647406596794</v>
      </c>
      <c r="R61" s="35"/>
    </row>
    <row r="62" spans="1:18" x14ac:dyDescent="0.25">
      <c r="A62" s="23">
        <v>3</v>
      </c>
      <c r="B62" s="33" t="s">
        <v>25</v>
      </c>
      <c r="C62" s="25">
        <v>721</v>
      </c>
      <c r="D62" s="23" t="s">
        <v>2</v>
      </c>
      <c r="E62" s="23" t="s">
        <v>37</v>
      </c>
      <c r="F62" s="23"/>
      <c r="G62" s="32">
        <v>349.9</v>
      </c>
      <c r="H62" s="23"/>
      <c r="I62" s="23"/>
      <c r="J62" s="23">
        <v>292.5</v>
      </c>
      <c r="K62" s="23"/>
      <c r="L62" s="23">
        <v>267.39999999999998</v>
      </c>
      <c r="M62" s="23">
        <v>266.8</v>
      </c>
      <c r="N62" s="23">
        <f t="shared" si="1"/>
        <v>23.74964275507287</v>
      </c>
      <c r="O62" s="23">
        <f>N62-N63</f>
        <v>4.0637505265323917</v>
      </c>
      <c r="P62" s="23"/>
      <c r="Q62" s="23"/>
      <c r="R62" s="35"/>
    </row>
    <row r="63" spans="1:18" x14ac:dyDescent="0.25">
      <c r="A63" s="23">
        <v>3</v>
      </c>
      <c r="B63" s="33" t="s">
        <v>25</v>
      </c>
      <c r="C63" s="25">
        <v>721</v>
      </c>
      <c r="D63" s="23" t="s">
        <v>3</v>
      </c>
      <c r="E63" s="23" t="s">
        <v>37</v>
      </c>
      <c r="F63" s="23"/>
      <c r="G63" s="32">
        <v>369.3</v>
      </c>
      <c r="H63" s="23"/>
      <c r="I63" s="23"/>
      <c r="J63" s="23">
        <v>308.60000000000002</v>
      </c>
      <c r="K63" s="23"/>
      <c r="L63" s="23">
        <v>296.7</v>
      </c>
      <c r="M63" s="23">
        <v>296.60000000000002</v>
      </c>
      <c r="N63" s="23">
        <f t="shared" si="1"/>
        <v>19.685892228540478</v>
      </c>
      <c r="O63" s="23"/>
      <c r="P63" s="23">
        <f>N63-N64</f>
        <v>-1.8376251538726045</v>
      </c>
      <c r="Q63" s="23"/>
      <c r="R63" s="35"/>
    </row>
    <row r="64" spans="1:18" x14ac:dyDescent="0.25">
      <c r="A64" s="23">
        <v>3</v>
      </c>
      <c r="B64" s="33" t="s">
        <v>25</v>
      </c>
      <c r="C64" s="25">
        <v>721</v>
      </c>
      <c r="D64" s="23" t="s">
        <v>4</v>
      </c>
      <c r="E64" s="23" t="s">
        <v>37</v>
      </c>
      <c r="F64" s="23"/>
      <c r="G64" s="32">
        <v>391.2</v>
      </c>
      <c r="H64" s="23"/>
      <c r="I64" s="23"/>
      <c r="J64" s="23">
        <v>337.4</v>
      </c>
      <c r="K64" s="23"/>
      <c r="L64" s="23">
        <v>307.5</v>
      </c>
      <c r="M64" s="23">
        <v>307</v>
      </c>
      <c r="N64" s="23">
        <f t="shared" si="1"/>
        <v>21.523517382413083</v>
      </c>
      <c r="O64" s="23"/>
      <c r="P64" s="23"/>
      <c r="Q64" s="23">
        <f>N64-N62</f>
        <v>-2.2261253726597872</v>
      </c>
      <c r="R64" s="35"/>
    </row>
    <row r="65" spans="1:18" x14ac:dyDescent="0.25">
      <c r="A65" s="23">
        <v>3</v>
      </c>
      <c r="B65" s="33" t="s">
        <v>26</v>
      </c>
      <c r="C65" s="25">
        <v>722</v>
      </c>
      <c r="D65" s="23" t="s">
        <v>2</v>
      </c>
      <c r="E65" s="23" t="s">
        <v>37</v>
      </c>
      <c r="F65" s="23"/>
      <c r="G65" s="32">
        <v>343.5</v>
      </c>
      <c r="H65" s="23"/>
      <c r="I65" s="23">
        <v>304.5</v>
      </c>
      <c r="J65" s="23">
        <v>277.60000000000002</v>
      </c>
      <c r="K65" s="23"/>
      <c r="L65" s="23">
        <v>248</v>
      </c>
      <c r="M65" s="23">
        <v>247.4</v>
      </c>
      <c r="N65" s="23">
        <f t="shared" si="1"/>
        <v>27.976710334788937</v>
      </c>
      <c r="O65" s="23">
        <f>N65-N66</f>
        <v>3.1530149892318136</v>
      </c>
      <c r="P65" s="23"/>
      <c r="Q65" s="23"/>
      <c r="R65" s="35"/>
    </row>
    <row r="66" spans="1:18" x14ac:dyDescent="0.25">
      <c r="A66" s="23">
        <v>3</v>
      </c>
      <c r="B66" s="33" t="s">
        <v>26</v>
      </c>
      <c r="C66" s="25">
        <v>722</v>
      </c>
      <c r="D66" s="23" t="s">
        <v>3</v>
      </c>
      <c r="E66" s="23" t="s">
        <v>37</v>
      </c>
      <c r="F66" s="23"/>
      <c r="G66" s="32">
        <v>354.5</v>
      </c>
      <c r="H66" s="23"/>
      <c r="I66" s="23"/>
      <c r="J66" s="23">
        <v>286</v>
      </c>
      <c r="K66" s="23"/>
      <c r="L66" s="23">
        <v>266.8</v>
      </c>
      <c r="M66" s="23">
        <v>266.5</v>
      </c>
      <c r="N66" s="23">
        <f t="shared" si="1"/>
        <v>24.823695345557123</v>
      </c>
      <c r="O66" s="23"/>
      <c r="P66" s="23">
        <f>N66-N67</f>
        <v>-0.54582246398975798</v>
      </c>
      <c r="Q66" s="23"/>
      <c r="R66" s="35"/>
    </row>
    <row r="67" spans="1:18" x14ac:dyDescent="0.25">
      <c r="A67" s="23">
        <v>3</v>
      </c>
      <c r="B67" s="33" t="s">
        <v>26</v>
      </c>
      <c r="C67" s="25">
        <v>722</v>
      </c>
      <c r="D67" s="23" t="s">
        <v>4</v>
      </c>
      <c r="E67" s="23" t="s">
        <v>37</v>
      </c>
      <c r="F67" s="23"/>
      <c r="G67" s="32">
        <v>412.7</v>
      </c>
      <c r="H67" s="23"/>
      <c r="I67" s="23"/>
      <c r="J67" s="23">
        <v>356.1</v>
      </c>
      <c r="K67" s="23"/>
      <c r="L67" s="23">
        <v>310.2</v>
      </c>
      <c r="M67" s="23">
        <v>308</v>
      </c>
      <c r="N67" s="23">
        <f t="shared" ref="N67:N91" si="2">(G67-M67)*100/G67</f>
        <v>25.369517809546881</v>
      </c>
      <c r="O67" s="23"/>
      <c r="P67" s="23"/>
      <c r="Q67" s="23">
        <f>N67-N65</f>
        <v>-2.6071925252420556</v>
      </c>
      <c r="R67" s="35"/>
    </row>
    <row r="68" spans="1:18" x14ac:dyDescent="0.25">
      <c r="A68" s="23">
        <v>3</v>
      </c>
      <c r="B68" s="33" t="s">
        <v>27</v>
      </c>
      <c r="C68" s="25">
        <v>723</v>
      </c>
      <c r="D68" s="23" t="s">
        <v>2</v>
      </c>
      <c r="E68" s="23" t="s">
        <v>37</v>
      </c>
      <c r="F68" s="23"/>
      <c r="G68" s="32">
        <v>403.5</v>
      </c>
      <c r="H68" s="23"/>
      <c r="I68" s="23"/>
      <c r="J68" s="23">
        <v>345</v>
      </c>
      <c r="K68" s="23"/>
      <c r="L68" s="23">
        <v>318.3</v>
      </c>
      <c r="M68" s="23">
        <v>317.60000000000002</v>
      </c>
      <c r="N68" s="23">
        <f t="shared" si="2"/>
        <v>21.28872366790582</v>
      </c>
      <c r="O68" s="23">
        <f>N68-N69</f>
        <v>2.353812425302273</v>
      </c>
      <c r="P68" s="23"/>
      <c r="Q68" s="23"/>
      <c r="R68" s="35"/>
    </row>
    <row r="69" spans="1:18" x14ac:dyDescent="0.25">
      <c r="A69" s="23">
        <v>3</v>
      </c>
      <c r="B69" s="33" t="s">
        <v>27</v>
      </c>
      <c r="C69" s="25">
        <v>723</v>
      </c>
      <c r="D69" s="23" t="s">
        <v>3</v>
      </c>
      <c r="E69" s="23" t="s">
        <v>37</v>
      </c>
      <c r="F69" s="23"/>
      <c r="G69" s="32">
        <v>439.4</v>
      </c>
      <c r="H69" s="23"/>
      <c r="I69" s="23"/>
      <c r="J69" s="43">
        <v>385.3</v>
      </c>
      <c r="K69" s="23"/>
      <c r="L69" s="23">
        <v>357.1</v>
      </c>
      <c r="M69" s="23">
        <v>356.2</v>
      </c>
      <c r="N69" s="23">
        <f t="shared" si="2"/>
        <v>18.934911242603548</v>
      </c>
      <c r="O69" s="23"/>
      <c r="P69" s="23">
        <f>N69-N70</f>
        <v>-0.82402117237708339</v>
      </c>
      <c r="Q69" s="23"/>
      <c r="R69" s="35"/>
    </row>
    <row r="70" spans="1:18" x14ac:dyDescent="0.25">
      <c r="A70" s="23">
        <v>3</v>
      </c>
      <c r="B70" s="33" t="s">
        <v>27</v>
      </c>
      <c r="C70" s="25">
        <v>723</v>
      </c>
      <c r="D70" s="23" t="s">
        <v>4</v>
      </c>
      <c r="E70" s="23" t="s">
        <v>37</v>
      </c>
      <c r="F70" s="23"/>
      <c r="G70" s="32">
        <v>464.6</v>
      </c>
      <c r="H70" s="23"/>
      <c r="I70" s="23">
        <v>412</v>
      </c>
      <c r="J70" s="23">
        <v>383</v>
      </c>
      <c r="K70" s="23"/>
      <c r="L70" s="23">
        <v>372.9</v>
      </c>
      <c r="M70" s="23">
        <v>372.8</v>
      </c>
      <c r="N70" s="23">
        <f t="shared" si="2"/>
        <v>19.758932414980631</v>
      </c>
      <c r="O70" s="23"/>
      <c r="P70" s="23"/>
      <c r="Q70" s="23">
        <f>N70-N68</f>
        <v>-1.5297912529251896</v>
      </c>
      <c r="R70" s="35"/>
    </row>
    <row r="71" spans="1:18" x14ac:dyDescent="0.25">
      <c r="A71" s="23">
        <v>3</v>
      </c>
      <c r="B71" s="33" t="s">
        <v>28</v>
      </c>
      <c r="C71" s="25">
        <v>724</v>
      </c>
      <c r="D71" s="23" t="s">
        <v>2</v>
      </c>
      <c r="E71" s="23" t="s">
        <v>37</v>
      </c>
      <c r="F71" s="23"/>
      <c r="G71" s="34">
        <v>455</v>
      </c>
      <c r="H71" s="23"/>
      <c r="I71" s="23"/>
      <c r="J71" s="23">
        <v>402.8</v>
      </c>
      <c r="K71" s="23"/>
      <c r="L71" s="23">
        <v>361</v>
      </c>
      <c r="M71" s="23">
        <v>359.6</v>
      </c>
      <c r="N71" s="23">
        <f t="shared" si="2"/>
        <v>20.967032967032964</v>
      </c>
      <c r="O71" s="23">
        <f>N71-N72</f>
        <v>1.0480803485790879</v>
      </c>
      <c r="P71" s="23"/>
      <c r="Q71" s="23"/>
      <c r="R71" s="35"/>
    </row>
    <row r="72" spans="1:18" x14ac:dyDescent="0.25">
      <c r="A72" s="23">
        <v>3</v>
      </c>
      <c r="B72" s="33" t="s">
        <v>28</v>
      </c>
      <c r="C72" s="25">
        <v>724</v>
      </c>
      <c r="D72" s="23" t="s">
        <v>3</v>
      </c>
      <c r="E72" s="23" t="s">
        <v>37</v>
      </c>
      <c r="F72" s="23"/>
      <c r="G72" s="34">
        <v>320.8</v>
      </c>
      <c r="H72" s="23"/>
      <c r="I72" s="23"/>
      <c r="J72" s="23">
        <v>277.5</v>
      </c>
      <c r="K72" s="23"/>
      <c r="L72" s="23">
        <v>257.10000000000002</v>
      </c>
      <c r="M72" s="23">
        <v>256.89999999999998</v>
      </c>
      <c r="N72" s="23">
        <f t="shared" si="2"/>
        <v>19.918952618453876</v>
      </c>
      <c r="O72" s="23"/>
      <c r="P72" s="23">
        <f>N72-N73</f>
        <v>0.7979480522438287</v>
      </c>
      <c r="Q72" s="23"/>
      <c r="R72" s="35"/>
    </row>
    <row r="73" spans="1:18" x14ac:dyDescent="0.25">
      <c r="A73" s="23">
        <v>3</v>
      </c>
      <c r="B73" s="33" t="s">
        <v>28</v>
      </c>
      <c r="C73" s="25">
        <v>724</v>
      </c>
      <c r="D73" s="23" t="s">
        <v>4</v>
      </c>
      <c r="E73" s="23" t="s">
        <v>37</v>
      </c>
      <c r="F73" s="23"/>
      <c r="G73" s="34">
        <v>350.4</v>
      </c>
      <c r="H73" s="23"/>
      <c r="I73" s="23"/>
      <c r="J73" s="23">
        <v>306.8</v>
      </c>
      <c r="K73" s="23"/>
      <c r="L73" s="23">
        <v>283.60000000000002</v>
      </c>
      <c r="M73" s="23">
        <v>283.39999999999998</v>
      </c>
      <c r="N73" s="23">
        <f t="shared" si="2"/>
        <v>19.121004566210047</v>
      </c>
      <c r="O73" s="23"/>
      <c r="P73" s="23"/>
      <c r="Q73" s="23">
        <f>N73-N71</f>
        <v>-1.8460284008229166</v>
      </c>
      <c r="R73" s="35"/>
    </row>
    <row r="74" spans="1:18" x14ac:dyDescent="0.25">
      <c r="A74" s="23">
        <v>3</v>
      </c>
      <c r="B74" s="33" t="s">
        <v>29</v>
      </c>
      <c r="C74" s="25">
        <v>725</v>
      </c>
      <c r="D74" s="23" t="s">
        <v>2</v>
      </c>
      <c r="E74" s="23" t="s">
        <v>52</v>
      </c>
      <c r="F74" s="23"/>
      <c r="G74" s="34">
        <v>329.4</v>
      </c>
      <c r="H74" s="23"/>
      <c r="I74" s="23"/>
      <c r="J74" s="23">
        <v>272.8</v>
      </c>
      <c r="K74" s="23"/>
      <c r="L74" s="23">
        <v>267.2</v>
      </c>
      <c r="M74" s="23">
        <v>266.89999999999998</v>
      </c>
      <c r="N74" s="23">
        <f t="shared" si="2"/>
        <v>18.973891924711598</v>
      </c>
      <c r="O74" s="23">
        <f>N74-N75</f>
        <v>0.95335037475827278</v>
      </c>
      <c r="P74" s="23"/>
      <c r="Q74" s="23"/>
      <c r="R74" s="35"/>
    </row>
    <row r="75" spans="1:18" x14ac:dyDescent="0.25">
      <c r="A75" s="23">
        <v>3</v>
      </c>
      <c r="B75" s="33" t="s">
        <v>29</v>
      </c>
      <c r="C75" s="25">
        <v>725</v>
      </c>
      <c r="D75" s="23" t="s">
        <v>3</v>
      </c>
      <c r="E75" s="23" t="s">
        <v>52</v>
      </c>
      <c r="F75" s="23"/>
      <c r="G75" s="34">
        <v>321.3</v>
      </c>
      <c r="H75" s="23"/>
      <c r="I75" s="23"/>
      <c r="J75" s="23">
        <v>273.10000000000002</v>
      </c>
      <c r="K75" s="23"/>
      <c r="L75" s="23">
        <v>263.60000000000002</v>
      </c>
      <c r="M75" s="23">
        <v>263.39999999999998</v>
      </c>
      <c r="N75" s="23">
        <f t="shared" si="2"/>
        <v>18.020541549953325</v>
      </c>
      <c r="O75" s="23"/>
      <c r="P75" s="23">
        <f>N75-N76</f>
        <v>0.18614664549473758</v>
      </c>
      <c r="Q75" s="23"/>
      <c r="R75" s="35"/>
    </row>
    <row r="76" spans="1:18" x14ac:dyDescent="0.25">
      <c r="A76" s="23">
        <v>3</v>
      </c>
      <c r="B76" s="33" t="s">
        <v>29</v>
      </c>
      <c r="C76" s="25">
        <v>725</v>
      </c>
      <c r="D76" s="23" t="s">
        <v>4</v>
      </c>
      <c r="E76" s="23" t="s">
        <v>52</v>
      </c>
      <c r="F76" s="23"/>
      <c r="G76" s="34">
        <v>345.4</v>
      </c>
      <c r="H76" s="23"/>
      <c r="I76" s="23"/>
      <c r="J76" s="23">
        <v>287.5</v>
      </c>
      <c r="K76" s="23"/>
      <c r="L76" s="23">
        <v>283.89999999999998</v>
      </c>
      <c r="M76" s="23">
        <v>283.8</v>
      </c>
      <c r="N76" s="23">
        <f t="shared" si="2"/>
        <v>17.834394904458588</v>
      </c>
      <c r="O76" s="23"/>
      <c r="P76" s="23"/>
      <c r="Q76" s="23">
        <f>N76-N74</f>
        <v>-1.1394970202530104</v>
      </c>
      <c r="R76" s="35"/>
    </row>
    <row r="77" spans="1:18" x14ac:dyDescent="0.25">
      <c r="A77" s="23">
        <v>3</v>
      </c>
      <c r="B77" s="33" t="s">
        <v>30</v>
      </c>
      <c r="C77" s="25">
        <v>726</v>
      </c>
      <c r="D77" s="23" t="s">
        <v>2</v>
      </c>
      <c r="E77" s="23" t="s">
        <v>52</v>
      </c>
      <c r="F77" s="23"/>
      <c r="G77" s="34">
        <v>402.5</v>
      </c>
      <c r="H77" s="23"/>
      <c r="I77" s="23"/>
      <c r="J77" s="23">
        <v>333.5</v>
      </c>
      <c r="K77" s="23"/>
      <c r="L77" s="23">
        <v>321.5</v>
      </c>
      <c r="M77" s="23">
        <v>321.3</v>
      </c>
      <c r="N77" s="23">
        <f t="shared" si="2"/>
        <v>20.173913043478258</v>
      </c>
      <c r="O77" s="23">
        <f>N77-N78</f>
        <v>2.9965412108324259</v>
      </c>
      <c r="P77" s="23"/>
      <c r="Q77" s="23"/>
      <c r="R77" s="35"/>
    </row>
    <row r="78" spans="1:18" x14ac:dyDescent="0.25">
      <c r="A78" s="23">
        <v>3</v>
      </c>
      <c r="B78" s="33" t="s">
        <v>30</v>
      </c>
      <c r="C78" s="25">
        <v>726</v>
      </c>
      <c r="D78" s="23" t="s">
        <v>3</v>
      </c>
      <c r="E78" s="23" t="s">
        <v>52</v>
      </c>
      <c r="F78" s="23"/>
      <c r="G78" s="34">
        <v>339.4</v>
      </c>
      <c r="H78" s="23"/>
      <c r="I78" s="23">
        <v>309.3</v>
      </c>
      <c r="J78" s="23">
        <v>285.10000000000002</v>
      </c>
      <c r="K78" s="23"/>
      <c r="L78" s="23">
        <v>281.2</v>
      </c>
      <c r="M78" s="23">
        <v>281.10000000000002</v>
      </c>
      <c r="N78" s="23">
        <f t="shared" si="2"/>
        <v>17.177371832645832</v>
      </c>
      <c r="O78" s="23"/>
      <c r="P78" s="23">
        <f>N78-N79</f>
        <v>-6.1657366717529989</v>
      </c>
      <c r="Q78" s="23"/>
      <c r="R78" s="35"/>
    </row>
    <row r="79" spans="1:18" x14ac:dyDescent="0.25">
      <c r="A79" s="23">
        <v>3</v>
      </c>
      <c r="B79" s="33" t="s">
        <v>30</v>
      </c>
      <c r="C79" s="25">
        <v>726</v>
      </c>
      <c r="D79" s="23" t="s">
        <v>4</v>
      </c>
      <c r="E79" s="23" t="s">
        <v>52</v>
      </c>
      <c r="F79" s="23"/>
      <c r="G79" s="34">
        <v>341</v>
      </c>
      <c r="H79" s="23"/>
      <c r="I79" s="23"/>
      <c r="J79" s="23">
        <v>267.39999999999998</v>
      </c>
      <c r="K79" s="23"/>
      <c r="L79" s="23">
        <v>261.5</v>
      </c>
      <c r="M79" s="23">
        <v>261.39999999999998</v>
      </c>
      <c r="N79" s="23">
        <f t="shared" si="2"/>
        <v>23.343108504398831</v>
      </c>
      <c r="O79" s="23"/>
      <c r="P79" s="23"/>
      <c r="Q79" s="23">
        <f>N79-N77</f>
        <v>3.169195460920573</v>
      </c>
      <c r="R79" s="35"/>
    </row>
    <row r="80" spans="1:18" x14ac:dyDescent="0.25">
      <c r="A80" s="23">
        <v>3</v>
      </c>
      <c r="B80" s="33" t="s">
        <v>31</v>
      </c>
      <c r="C80" s="25">
        <v>727</v>
      </c>
      <c r="D80" s="23" t="s">
        <v>2</v>
      </c>
      <c r="E80" s="23" t="s">
        <v>52</v>
      </c>
      <c r="F80" s="23"/>
      <c r="G80" s="34">
        <v>363.7</v>
      </c>
      <c r="H80" s="23"/>
      <c r="I80" s="23"/>
      <c r="J80" s="23">
        <v>288.39999999999998</v>
      </c>
      <c r="K80" s="23"/>
      <c r="L80" s="23">
        <v>285.5</v>
      </c>
      <c r="M80" s="23">
        <v>285.10000000000002</v>
      </c>
      <c r="N80" s="23">
        <f t="shared" si="2"/>
        <v>21.611218036843542</v>
      </c>
      <c r="O80" s="23">
        <f>N80-N81</f>
        <v>0.93562106538168877</v>
      </c>
      <c r="P80" s="23"/>
      <c r="Q80" s="23"/>
      <c r="R80" s="35"/>
    </row>
    <row r="81" spans="1:18" x14ac:dyDescent="0.25">
      <c r="A81" s="23">
        <v>3</v>
      </c>
      <c r="B81" s="33" t="s">
        <v>31</v>
      </c>
      <c r="C81" s="25">
        <v>727</v>
      </c>
      <c r="D81" s="23" t="s">
        <v>3</v>
      </c>
      <c r="E81" s="23" t="s">
        <v>52</v>
      </c>
      <c r="F81" s="23"/>
      <c r="G81" s="34">
        <v>343.4</v>
      </c>
      <c r="H81" s="23"/>
      <c r="I81" s="23"/>
      <c r="J81" s="23">
        <v>276.60000000000002</v>
      </c>
      <c r="K81" s="23"/>
      <c r="L81" s="23">
        <v>272.3</v>
      </c>
      <c r="M81" s="23">
        <v>272.39999999999998</v>
      </c>
      <c r="N81" s="23">
        <f t="shared" si="2"/>
        <v>20.675596971461854</v>
      </c>
      <c r="O81" s="23"/>
      <c r="P81" s="23">
        <f>N81-N82</f>
        <v>5.3752698275562949E-2</v>
      </c>
      <c r="Q81" s="23"/>
      <c r="R81" s="35"/>
    </row>
    <row r="82" spans="1:18" x14ac:dyDescent="0.25">
      <c r="A82" s="23">
        <v>3</v>
      </c>
      <c r="B82" s="33" t="s">
        <v>31</v>
      </c>
      <c r="C82" s="25">
        <v>727</v>
      </c>
      <c r="D82" s="23" t="s">
        <v>4</v>
      </c>
      <c r="E82" s="23" t="s">
        <v>52</v>
      </c>
      <c r="F82" s="23"/>
      <c r="G82" s="34">
        <v>376.3</v>
      </c>
      <c r="H82" s="23"/>
      <c r="I82" s="23"/>
      <c r="J82" s="23">
        <v>310.2</v>
      </c>
      <c r="K82" s="23"/>
      <c r="L82" s="23">
        <v>298.7</v>
      </c>
      <c r="M82" s="23">
        <v>298.7</v>
      </c>
      <c r="N82" s="23">
        <f t="shared" si="2"/>
        <v>20.621844273186291</v>
      </c>
      <c r="O82" s="23"/>
      <c r="P82" s="23"/>
      <c r="Q82" s="23">
        <f>N82-N80</f>
        <v>-0.98937376365725171</v>
      </c>
      <c r="R82" s="35"/>
    </row>
    <row r="83" spans="1:18" x14ac:dyDescent="0.25">
      <c r="A83" s="23">
        <v>3</v>
      </c>
      <c r="B83" s="33" t="s">
        <v>32</v>
      </c>
      <c r="C83" s="25">
        <v>728</v>
      </c>
      <c r="D83" s="23" t="s">
        <v>2</v>
      </c>
      <c r="E83" s="23" t="s">
        <v>52</v>
      </c>
      <c r="F83" s="23"/>
      <c r="G83" s="34">
        <v>299.5</v>
      </c>
      <c r="H83" s="23"/>
      <c r="I83" s="23"/>
      <c r="J83" s="23">
        <v>247</v>
      </c>
      <c r="K83" s="23"/>
      <c r="L83" s="23">
        <v>242.6</v>
      </c>
      <c r="M83" s="23">
        <v>242.4</v>
      </c>
      <c r="N83" s="23">
        <f t="shared" si="2"/>
        <v>19.065108514190314</v>
      </c>
      <c r="O83" s="23">
        <f>N83-N84</f>
        <v>1.5380606007436413</v>
      </c>
      <c r="P83" s="23"/>
      <c r="Q83" s="23"/>
      <c r="R83" s="35"/>
    </row>
    <row r="84" spans="1:18" x14ac:dyDescent="0.25">
      <c r="A84" s="23">
        <v>3</v>
      </c>
      <c r="B84" s="33" t="s">
        <v>32</v>
      </c>
      <c r="C84" s="25">
        <v>728</v>
      </c>
      <c r="D84" s="23" t="s">
        <v>3</v>
      </c>
      <c r="E84" s="23" t="s">
        <v>52</v>
      </c>
      <c r="F84" s="23"/>
      <c r="G84" s="34">
        <v>323.5</v>
      </c>
      <c r="H84" s="23"/>
      <c r="I84" s="23"/>
      <c r="J84" s="23">
        <v>271.3</v>
      </c>
      <c r="K84" s="23"/>
      <c r="L84" s="23">
        <v>267</v>
      </c>
      <c r="M84" s="23">
        <v>266.8</v>
      </c>
      <c r="N84" s="23">
        <f t="shared" si="2"/>
        <v>17.527047913446673</v>
      </c>
      <c r="O84" s="23"/>
      <c r="P84" s="23">
        <f>N84-N85</f>
        <v>-2.3621326056551055</v>
      </c>
      <c r="Q84" s="23"/>
      <c r="R84" s="35"/>
    </row>
    <row r="85" spans="1:18" x14ac:dyDescent="0.25">
      <c r="A85" s="23">
        <v>3</v>
      </c>
      <c r="B85" s="33" t="s">
        <v>32</v>
      </c>
      <c r="C85" s="25">
        <v>728</v>
      </c>
      <c r="D85" s="23" t="s">
        <v>4</v>
      </c>
      <c r="E85" s="23" t="s">
        <v>52</v>
      </c>
      <c r="F85" s="23"/>
      <c r="G85" s="34">
        <v>342.9</v>
      </c>
      <c r="H85" s="23"/>
      <c r="I85" s="23"/>
      <c r="J85" s="23">
        <v>283</v>
      </c>
      <c r="K85" s="23"/>
      <c r="L85" s="23">
        <v>274.89999999999998</v>
      </c>
      <c r="M85" s="23">
        <v>274.7</v>
      </c>
      <c r="N85" s="23">
        <f t="shared" si="2"/>
        <v>19.889180519101778</v>
      </c>
      <c r="O85" s="23"/>
      <c r="P85" s="23"/>
      <c r="Q85" s="23">
        <f>N85-N83</f>
        <v>0.82407200491146426</v>
      </c>
      <c r="R85" s="35"/>
    </row>
    <row r="86" spans="1:18" x14ac:dyDescent="0.25">
      <c r="A86" s="23">
        <v>3</v>
      </c>
      <c r="B86" s="33" t="s">
        <v>33</v>
      </c>
      <c r="C86" s="25">
        <v>729</v>
      </c>
      <c r="D86" s="23" t="s">
        <v>2</v>
      </c>
      <c r="E86" s="23" t="s">
        <v>52</v>
      </c>
      <c r="F86" s="23"/>
      <c r="G86" s="34">
        <v>394.1</v>
      </c>
      <c r="H86" s="23"/>
      <c r="I86" s="23"/>
      <c r="J86" s="23">
        <v>318.8</v>
      </c>
      <c r="K86" s="23"/>
      <c r="L86" s="23">
        <v>304.89999999999998</v>
      </c>
      <c r="M86" s="23">
        <v>304.5</v>
      </c>
      <c r="N86" s="23">
        <f t="shared" si="2"/>
        <v>22.735346358792189</v>
      </c>
      <c r="O86" s="23">
        <f>N86-N87</f>
        <v>4.7095952858308152</v>
      </c>
      <c r="P86" s="23"/>
      <c r="Q86" s="23"/>
      <c r="R86" s="35"/>
    </row>
    <row r="87" spans="1:18" x14ac:dyDescent="0.25">
      <c r="A87" s="23">
        <v>3</v>
      </c>
      <c r="B87" s="33" t="s">
        <v>33</v>
      </c>
      <c r="C87" s="25">
        <v>729</v>
      </c>
      <c r="D87" s="23" t="s">
        <v>3</v>
      </c>
      <c r="E87" s="23" t="s">
        <v>52</v>
      </c>
      <c r="F87" s="23"/>
      <c r="G87" s="34">
        <v>349.5</v>
      </c>
      <c r="H87" s="23"/>
      <c r="I87" s="23"/>
      <c r="J87" s="23">
        <v>294.60000000000002</v>
      </c>
      <c r="K87" s="23"/>
      <c r="L87" s="23">
        <v>286.8</v>
      </c>
      <c r="M87" s="23">
        <v>286.5</v>
      </c>
      <c r="N87" s="23">
        <f t="shared" si="2"/>
        <v>18.025751072961373</v>
      </c>
      <c r="O87" s="23"/>
      <c r="P87" s="23">
        <f>N87-N88</f>
        <v>-0.29195115447121722</v>
      </c>
      <c r="Q87" s="23"/>
      <c r="R87" s="35"/>
    </row>
    <row r="88" spans="1:18" x14ac:dyDescent="0.25">
      <c r="A88" s="23">
        <v>3</v>
      </c>
      <c r="B88" s="33" t="s">
        <v>33</v>
      </c>
      <c r="C88" s="25">
        <v>729</v>
      </c>
      <c r="D88" s="23" t="s">
        <v>4</v>
      </c>
      <c r="E88" s="23" t="s">
        <v>52</v>
      </c>
      <c r="F88" s="23"/>
      <c r="G88" s="34">
        <v>341.2</v>
      </c>
      <c r="H88" s="23"/>
      <c r="I88" s="23"/>
      <c r="J88" s="23">
        <v>288.10000000000002</v>
      </c>
      <c r="K88" s="23"/>
      <c r="L88" s="23">
        <v>279</v>
      </c>
      <c r="M88" s="23">
        <v>278.7</v>
      </c>
      <c r="N88" s="23">
        <f t="shared" si="2"/>
        <v>18.317702227432591</v>
      </c>
      <c r="O88" s="23"/>
      <c r="P88" s="23"/>
      <c r="Q88" s="23">
        <f>N88-N86</f>
        <v>-4.417644131359598</v>
      </c>
      <c r="R88" s="35"/>
    </row>
    <row r="89" spans="1:18" x14ac:dyDescent="0.25">
      <c r="A89" s="23">
        <v>3</v>
      </c>
      <c r="B89" s="33" t="s">
        <v>34</v>
      </c>
      <c r="C89" s="25">
        <v>730</v>
      </c>
      <c r="D89" s="23" t="s">
        <v>2</v>
      </c>
      <c r="E89" s="23" t="s">
        <v>52</v>
      </c>
      <c r="F89" s="23"/>
      <c r="G89" s="34">
        <v>363.4</v>
      </c>
      <c r="H89" s="23"/>
      <c r="I89" s="23"/>
      <c r="J89" s="23">
        <v>285.3</v>
      </c>
      <c r="K89" s="23"/>
      <c r="L89" s="23">
        <v>278.7</v>
      </c>
      <c r="M89" s="23">
        <v>278.39999999999998</v>
      </c>
      <c r="N89" s="23">
        <f t="shared" si="2"/>
        <v>23.390203632361036</v>
      </c>
      <c r="O89" s="23">
        <f>N89-N90</f>
        <v>3.2898586966445222</v>
      </c>
      <c r="P89" s="23"/>
      <c r="Q89" s="23"/>
      <c r="R89" s="35"/>
    </row>
    <row r="90" spans="1:18" x14ac:dyDescent="0.25">
      <c r="A90" s="23">
        <v>3</v>
      </c>
      <c r="B90" s="33" t="s">
        <v>34</v>
      </c>
      <c r="C90" s="25">
        <v>730</v>
      </c>
      <c r="D90" s="23" t="s">
        <v>3</v>
      </c>
      <c r="E90" s="23" t="s">
        <v>52</v>
      </c>
      <c r="F90" s="23"/>
      <c r="G90" s="34">
        <v>318.89999999999998</v>
      </c>
      <c r="H90" s="23"/>
      <c r="I90" s="23"/>
      <c r="J90" s="23">
        <v>259.7</v>
      </c>
      <c r="K90" s="23"/>
      <c r="L90" s="23">
        <v>255.2</v>
      </c>
      <c r="M90" s="23">
        <v>254.8</v>
      </c>
      <c r="N90" s="23">
        <f t="shared" si="2"/>
        <v>20.100344935716514</v>
      </c>
      <c r="O90" s="23"/>
      <c r="P90" s="23">
        <f>N90-N91</f>
        <v>0.27858709920760205</v>
      </c>
      <c r="Q90" s="23"/>
      <c r="R90" s="35"/>
    </row>
    <row r="91" spans="1:18" x14ac:dyDescent="0.25">
      <c r="A91" s="23">
        <v>3</v>
      </c>
      <c r="B91" s="33" t="s">
        <v>34</v>
      </c>
      <c r="C91" s="25">
        <v>730</v>
      </c>
      <c r="D91" s="23" t="s">
        <v>4</v>
      </c>
      <c r="E91" s="23" t="s">
        <v>52</v>
      </c>
      <c r="F91" s="23"/>
      <c r="G91" s="34">
        <v>325.39999999999998</v>
      </c>
      <c r="H91" s="23"/>
      <c r="I91" s="23"/>
      <c r="J91" s="23">
        <v>268.8</v>
      </c>
      <c r="K91" s="23"/>
      <c r="L91" s="23">
        <v>261.2</v>
      </c>
      <c r="M91" s="23">
        <v>260.89999999999998</v>
      </c>
      <c r="N91" s="23">
        <f t="shared" si="2"/>
        <v>19.821757836508912</v>
      </c>
      <c r="O91" s="23"/>
      <c r="P91" s="23"/>
      <c r="Q91" s="23">
        <f>N91-N89</f>
        <v>-3.5684457958521243</v>
      </c>
      <c r="R91" s="35"/>
    </row>
    <row r="92" spans="1:18" x14ac:dyDescent="0.25">
      <c r="O92" s="23"/>
    </row>
    <row r="93" spans="1:18" x14ac:dyDescent="0.25">
      <c r="P93" s="23"/>
      <c r="Q93" s="50"/>
    </row>
  </sheetData>
  <conditionalFormatting sqref="D1:D1048576">
    <cfRule type="containsText" dxfId="3" priority="1" operator="containsText" text="intermed">
      <formula>NOT(ISERROR(SEARCH("intermed",D1)))</formula>
    </cfRule>
    <cfRule type="containsText" dxfId="2" priority="2" operator="containsText" text="touffe">
      <formula>NOT(ISERROR(SEARCH("touffe",D1)))</formula>
    </cfRule>
  </conditionalFormatting>
  <pageMargins left="0.25" right="0.25" top="0.75" bottom="0.75" header="0.3" footer="0.3"/>
  <pageSetup paperSize="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3"/>
  <sheetViews>
    <sheetView tabSelected="1" workbookViewId="0">
      <selection activeCell="L1" sqref="L1:P1048576"/>
    </sheetView>
  </sheetViews>
  <sheetFormatPr baseColWidth="10" defaultRowHeight="15" x14ac:dyDescent="0.25"/>
  <cols>
    <col min="1" max="1" width="6.28515625" customWidth="1"/>
    <col min="2" max="2" width="5.7109375" customWidth="1"/>
    <col min="3" max="3" width="6.28515625" customWidth="1"/>
    <col min="4" max="4" width="9.7109375" customWidth="1"/>
    <col min="5" max="5" width="12.7109375" customWidth="1"/>
    <col min="6" max="6" width="11.28515625" style="11" customWidth="1"/>
    <col min="7" max="11" width="13.85546875" customWidth="1"/>
  </cols>
  <sheetData>
    <row r="1" spans="1:11" s="19" customFormat="1" ht="30" x14ac:dyDescent="0.25">
      <c r="A1" s="20" t="s">
        <v>0</v>
      </c>
      <c r="B1" s="20" t="s">
        <v>1</v>
      </c>
      <c r="C1" s="20" t="s">
        <v>35</v>
      </c>
      <c r="D1" s="20" t="s">
        <v>41</v>
      </c>
      <c r="E1" s="20" t="s">
        <v>40</v>
      </c>
      <c r="F1" s="21" t="s">
        <v>54</v>
      </c>
      <c r="G1" s="20" t="s">
        <v>61</v>
      </c>
      <c r="H1" s="20" t="s">
        <v>62</v>
      </c>
      <c r="I1" s="20" t="s">
        <v>64</v>
      </c>
      <c r="J1" s="20" t="s">
        <v>65</v>
      </c>
      <c r="K1" s="20" t="s">
        <v>66</v>
      </c>
    </row>
    <row r="2" spans="1:11" x14ac:dyDescent="0.25">
      <c r="A2" s="23">
        <v>1</v>
      </c>
      <c r="B2" s="24" t="s">
        <v>8</v>
      </c>
      <c r="C2" s="25">
        <v>711</v>
      </c>
      <c r="D2" s="23" t="s">
        <v>2</v>
      </c>
      <c r="E2" s="23" t="s">
        <v>39</v>
      </c>
      <c r="F2" s="26">
        <v>213.3</v>
      </c>
      <c r="G2" s="23">
        <v>172.4</v>
      </c>
      <c r="H2" s="23">
        <v>19.174871073605253</v>
      </c>
      <c r="I2" s="23">
        <v>2.9880161034803301</v>
      </c>
      <c r="J2" s="23"/>
      <c r="K2" s="23"/>
    </row>
    <row r="3" spans="1:11" x14ac:dyDescent="0.25">
      <c r="A3" s="23">
        <v>1</v>
      </c>
      <c r="B3" s="24" t="s">
        <v>8</v>
      </c>
      <c r="C3" s="25">
        <v>711</v>
      </c>
      <c r="D3" s="23" t="s">
        <v>3</v>
      </c>
      <c r="E3" s="23" t="s">
        <v>38</v>
      </c>
      <c r="F3" s="26">
        <v>184.1</v>
      </c>
      <c r="G3" s="23">
        <v>154.30000000000001</v>
      </c>
      <c r="H3" s="23">
        <v>16.186854970124923</v>
      </c>
      <c r="I3" s="23"/>
      <c r="J3" s="23">
        <v>-0.12606194922013714</v>
      </c>
      <c r="K3" s="23"/>
    </row>
    <row r="4" spans="1:11" x14ac:dyDescent="0.25">
      <c r="A4" s="23">
        <v>1</v>
      </c>
      <c r="B4" s="24" t="s">
        <v>8</v>
      </c>
      <c r="C4" s="25">
        <v>711</v>
      </c>
      <c r="D4" s="23" t="s">
        <v>4</v>
      </c>
      <c r="E4" s="23" t="s">
        <v>38</v>
      </c>
      <c r="F4" s="26">
        <v>164.9</v>
      </c>
      <c r="G4" s="23">
        <v>138</v>
      </c>
      <c r="H4" s="23">
        <v>16.31291691934506</v>
      </c>
      <c r="I4" s="23"/>
      <c r="J4" s="23"/>
      <c r="K4" s="23">
        <v>-2.861954154260193</v>
      </c>
    </row>
    <row r="5" spans="1:11" x14ac:dyDescent="0.25">
      <c r="A5" s="23">
        <v>1</v>
      </c>
      <c r="B5" s="27" t="s">
        <v>7</v>
      </c>
      <c r="C5" s="25">
        <v>710</v>
      </c>
      <c r="D5" s="23" t="s">
        <v>2</v>
      </c>
      <c r="E5" s="23" t="s">
        <v>38</v>
      </c>
      <c r="F5" s="26">
        <v>193.9</v>
      </c>
      <c r="G5" s="23">
        <v>158.69999999999999</v>
      </c>
      <c r="H5" s="23">
        <v>18.1536874677669</v>
      </c>
      <c r="I5" s="23">
        <v>4.1200740223887475</v>
      </c>
      <c r="J5" s="23"/>
      <c r="K5" s="23"/>
    </row>
    <row r="6" spans="1:11" x14ac:dyDescent="0.25">
      <c r="A6" s="23">
        <v>1</v>
      </c>
      <c r="B6" s="27" t="s">
        <v>7</v>
      </c>
      <c r="C6" s="25">
        <v>710</v>
      </c>
      <c r="D6" s="23" t="s">
        <v>3</v>
      </c>
      <c r="E6" s="23" t="s">
        <v>38</v>
      </c>
      <c r="F6" s="26">
        <v>119</v>
      </c>
      <c r="G6" s="23">
        <v>102.3</v>
      </c>
      <c r="H6" s="23">
        <v>14.033613445378153</v>
      </c>
      <c r="I6" s="23"/>
      <c r="J6" s="23">
        <v>-4.2597822296656727</v>
      </c>
      <c r="K6" s="23"/>
    </row>
    <row r="7" spans="1:11" x14ac:dyDescent="0.25">
      <c r="A7" s="23">
        <v>1</v>
      </c>
      <c r="B7" s="27" t="s">
        <v>7</v>
      </c>
      <c r="C7" s="25">
        <v>710</v>
      </c>
      <c r="D7" s="23" t="s">
        <v>4</v>
      </c>
      <c r="E7" s="23" t="s">
        <v>38</v>
      </c>
      <c r="F7" s="26">
        <v>171.1</v>
      </c>
      <c r="G7" s="23">
        <v>139.80000000000001</v>
      </c>
      <c r="H7" s="23">
        <v>18.293395675043826</v>
      </c>
      <c r="I7" s="23"/>
      <c r="J7" s="23"/>
      <c r="K7" s="23">
        <v>0.13970820727692512</v>
      </c>
    </row>
    <row r="8" spans="1:11" x14ac:dyDescent="0.25">
      <c r="A8" s="23">
        <v>1</v>
      </c>
      <c r="B8" s="24" t="s">
        <v>9</v>
      </c>
      <c r="C8" s="44">
        <v>712</v>
      </c>
      <c r="D8" s="23" t="s">
        <v>2</v>
      </c>
      <c r="E8" s="45" t="s">
        <v>38</v>
      </c>
      <c r="F8" s="46">
        <v>239.2</v>
      </c>
      <c r="G8" s="45">
        <v>206.8</v>
      </c>
      <c r="H8" s="23"/>
      <c r="I8" s="23"/>
      <c r="J8" s="23"/>
      <c r="K8" s="23"/>
    </row>
    <row r="9" spans="1:11" x14ac:dyDescent="0.25">
      <c r="A9" s="23">
        <v>1</v>
      </c>
      <c r="B9" s="24" t="s">
        <v>9</v>
      </c>
      <c r="C9" s="25">
        <v>712</v>
      </c>
      <c r="D9" s="23" t="s">
        <v>3</v>
      </c>
      <c r="E9" s="23" t="s">
        <v>38</v>
      </c>
      <c r="F9" s="26">
        <v>144.30000000000001</v>
      </c>
      <c r="G9" s="23">
        <v>121.6</v>
      </c>
      <c r="H9" s="23">
        <v>15.731115731115743</v>
      </c>
      <c r="I9" s="23"/>
      <c r="J9" s="23">
        <v>-2.3436765126515766</v>
      </c>
      <c r="K9" s="23"/>
    </row>
    <row r="10" spans="1:11" x14ac:dyDescent="0.25">
      <c r="A10" s="23">
        <v>1</v>
      </c>
      <c r="B10" s="24" t="s">
        <v>9</v>
      </c>
      <c r="C10" s="25">
        <v>712</v>
      </c>
      <c r="D10" s="23" t="s">
        <v>4</v>
      </c>
      <c r="E10" s="23" t="s">
        <v>38</v>
      </c>
      <c r="F10" s="26">
        <v>144.4</v>
      </c>
      <c r="G10" s="23">
        <v>118.3</v>
      </c>
      <c r="H10" s="23">
        <v>18.07479224376732</v>
      </c>
      <c r="I10" s="23"/>
      <c r="J10" s="23"/>
      <c r="K10" s="23"/>
    </row>
    <row r="11" spans="1:11" x14ac:dyDescent="0.25">
      <c r="A11" s="23">
        <v>1</v>
      </c>
      <c r="B11" s="24" t="s">
        <v>10</v>
      </c>
      <c r="C11" s="25">
        <v>713</v>
      </c>
      <c r="D11" s="23" t="s">
        <v>2</v>
      </c>
      <c r="E11" s="23" t="s">
        <v>37</v>
      </c>
      <c r="F11" s="26">
        <v>328.5</v>
      </c>
      <c r="G11" s="23">
        <v>276</v>
      </c>
      <c r="H11" s="23">
        <v>15.981735159817351</v>
      </c>
      <c r="I11" s="23">
        <v>0.18963121179136522</v>
      </c>
      <c r="J11" s="23"/>
      <c r="K11" s="23"/>
    </row>
    <row r="12" spans="1:11" x14ac:dyDescent="0.25">
      <c r="A12" s="23">
        <v>1</v>
      </c>
      <c r="B12" s="24" t="s">
        <v>10</v>
      </c>
      <c r="C12" s="25">
        <v>713</v>
      </c>
      <c r="D12" s="23" t="s">
        <v>3</v>
      </c>
      <c r="E12" s="23" t="s">
        <v>37</v>
      </c>
      <c r="F12" s="26">
        <v>200.1</v>
      </c>
      <c r="G12" s="23">
        <v>168.5</v>
      </c>
      <c r="H12" s="23">
        <v>15.792103948025986</v>
      </c>
      <c r="I12" s="23"/>
      <c r="J12" s="23">
        <v>-0.69912412214945618</v>
      </c>
      <c r="K12" s="23"/>
    </row>
    <row r="13" spans="1:11" x14ac:dyDescent="0.25">
      <c r="A13" s="23">
        <v>1</v>
      </c>
      <c r="B13" s="24" t="s">
        <v>10</v>
      </c>
      <c r="C13" s="25">
        <v>713</v>
      </c>
      <c r="D13" s="23" t="s">
        <v>4</v>
      </c>
      <c r="E13" s="23" t="s">
        <v>37</v>
      </c>
      <c r="F13" s="26">
        <v>256.5</v>
      </c>
      <c r="G13" s="23">
        <v>214.2</v>
      </c>
      <c r="H13" s="23">
        <v>16.491228070175442</v>
      </c>
      <c r="I13" s="23"/>
      <c r="J13" s="23"/>
      <c r="K13" s="23">
        <v>0.50949291035809097</v>
      </c>
    </row>
    <row r="14" spans="1:11" x14ac:dyDescent="0.25">
      <c r="A14" s="23">
        <v>1</v>
      </c>
      <c r="B14" s="24" t="s">
        <v>11</v>
      </c>
      <c r="C14" s="25">
        <v>714</v>
      </c>
      <c r="D14" s="23" t="s">
        <v>2</v>
      </c>
      <c r="E14" s="23" t="s">
        <v>37</v>
      </c>
      <c r="F14" s="26">
        <v>317.39999999999998</v>
      </c>
      <c r="G14" s="23">
        <v>262.2</v>
      </c>
      <c r="H14" s="23">
        <v>17.391304347826086</v>
      </c>
      <c r="I14" s="23">
        <v>1.1247480564353651</v>
      </c>
      <c r="J14" s="23"/>
      <c r="K14" s="23"/>
    </row>
    <row r="15" spans="1:11" x14ac:dyDescent="0.25">
      <c r="A15" s="23">
        <v>1</v>
      </c>
      <c r="B15" s="24" t="s">
        <v>11</v>
      </c>
      <c r="C15" s="25">
        <v>714</v>
      </c>
      <c r="D15" s="23" t="s">
        <v>3</v>
      </c>
      <c r="E15" s="23" t="s">
        <v>37</v>
      </c>
      <c r="F15" s="26">
        <v>241.6</v>
      </c>
      <c r="G15" s="23">
        <v>202.3</v>
      </c>
      <c r="H15" s="23">
        <v>16.266556291390721</v>
      </c>
      <c r="I15" s="23"/>
      <c r="J15" s="23">
        <v>0.70051855554166487</v>
      </c>
      <c r="K15" s="23"/>
    </row>
    <row r="16" spans="1:11" x14ac:dyDescent="0.25">
      <c r="A16" s="23">
        <v>1</v>
      </c>
      <c r="B16" s="24" t="s">
        <v>11</v>
      </c>
      <c r="C16" s="25">
        <v>714</v>
      </c>
      <c r="D16" s="23" t="s">
        <v>4</v>
      </c>
      <c r="E16" s="23" t="s">
        <v>37</v>
      </c>
      <c r="F16" s="26">
        <v>212</v>
      </c>
      <c r="G16" s="23">
        <v>179</v>
      </c>
      <c r="H16" s="23">
        <v>15.566037735849056</v>
      </c>
      <c r="I16" s="23"/>
      <c r="J16" s="23"/>
      <c r="K16" s="23">
        <v>-1.82526661197703</v>
      </c>
    </row>
    <row r="17" spans="1:11" x14ac:dyDescent="0.25">
      <c r="A17" s="23">
        <v>1</v>
      </c>
      <c r="B17" s="24" t="s">
        <v>12</v>
      </c>
      <c r="C17" s="25">
        <v>715</v>
      </c>
      <c r="D17" s="23" t="s">
        <v>2</v>
      </c>
      <c r="E17" s="23" t="s">
        <v>37</v>
      </c>
      <c r="F17" s="26">
        <v>210.3</v>
      </c>
      <c r="G17" s="23">
        <v>173.6</v>
      </c>
      <c r="H17" s="23">
        <v>17.451260104612466</v>
      </c>
      <c r="I17" s="23">
        <v>0.94332359667596322</v>
      </c>
      <c r="J17" s="23"/>
      <c r="K17" s="23"/>
    </row>
    <row r="18" spans="1:11" x14ac:dyDescent="0.25">
      <c r="A18" s="23">
        <v>1</v>
      </c>
      <c r="B18" s="24" t="s">
        <v>12</v>
      </c>
      <c r="C18" s="25">
        <v>715</v>
      </c>
      <c r="D18" s="23" t="s">
        <v>3</v>
      </c>
      <c r="E18" s="23" t="s">
        <v>37</v>
      </c>
      <c r="F18" s="26">
        <v>189</v>
      </c>
      <c r="G18" s="23">
        <v>157.80000000000001</v>
      </c>
      <c r="H18" s="23">
        <v>16.507936507936503</v>
      </c>
      <c r="I18" s="23"/>
      <c r="J18" s="23">
        <v>-1.8123419951096302</v>
      </c>
      <c r="K18" s="23"/>
    </row>
    <row r="19" spans="1:11" x14ac:dyDescent="0.25">
      <c r="A19" s="23">
        <v>1</v>
      </c>
      <c r="B19" s="24" t="s">
        <v>12</v>
      </c>
      <c r="C19" s="25">
        <v>715</v>
      </c>
      <c r="D19" s="23" t="s">
        <v>4</v>
      </c>
      <c r="E19" s="23" t="s">
        <v>37</v>
      </c>
      <c r="F19" s="26">
        <v>229.8</v>
      </c>
      <c r="G19" s="23">
        <v>187.7</v>
      </c>
      <c r="H19" s="23">
        <v>18.320278503046133</v>
      </c>
      <c r="I19" s="23"/>
      <c r="J19" s="23"/>
      <c r="K19" s="23">
        <v>0.86901839843366702</v>
      </c>
    </row>
    <row r="20" spans="1:11" x14ac:dyDescent="0.25">
      <c r="A20" s="23">
        <v>1</v>
      </c>
      <c r="B20" s="27" t="s">
        <v>6</v>
      </c>
      <c r="C20" s="28" t="s">
        <v>6</v>
      </c>
      <c r="D20" s="23" t="s">
        <v>2</v>
      </c>
      <c r="E20" s="23" t="s">
        <v>38</v>
      </c>
      <c r="F20" s="26">
        <v>180</v>
      </c>
      <c r="G20" s="23">
        <v>131</v>
      </c>
      <c r="H20" s="23">
        <v>27.222222222222221</v>
      </c>
      <c r="I20" s="23">
        <v>9.0641555991000828</v>
      </c>
      <c r="J20" s="23"/>
      <c r="K20" s="23"/>
    </row>
    <row r="21" spans="1:11" x14ac:dyDescent="0.25">
      <c r="A21" s="23">
        <v>1</v>
      </c>
      <c r="B21" s="27" t="s">
        <v>6</v>
      </c>
      <c r="C21" s="28" t="s">
        <v>21</v>
      </c>
      <c r="D21" s="23" t="s">
        <v>3</v>
      </c>
      <c r="E21" s="23" t="s">
        <v>38</v>
      </c>
      <c r="F21" s="26">
        <v>153.1</v>
      </c>
      <c r="G21" s="23">
        <v>125.3</v>
      </c>
      <c r="H21" s="23">
        <v>18.158066623122139</v>
      </c>
      <c r="I21" s="23"/>
      <c r="J21" s="23">
        <v>0.97929567340147017</v>
      </c>
      <c r="K21" s="23"/>
    </row>
    <row r="22" spans="1:11" x14ac:dyDescent="0.25">
      <c r="A22" s="23">
        <v>1</v>
      </c>
      <c r="B22" s="27" t="s">
        <v>6</v>
      </c>
      <c r="C22" s="28" t="s">
        <v>31</v>
      </c>
      <c r="D22" s="23" t="s">
        <v>4</v>
      </c>
      <c r="E22" s="23" t="s">
        <v>38</v>
      </c>
      <c r="F22" s="26">
        <v>143.19999999999999</v>
      </c>
      <c r="G22" s="23">
        <v>118.6</v>
      </c>
      <c r="H22" s="23">
        <v>17.178770949720668</v>
      </c>
      <c r="I22" s="23"/>
      <c r="J22" s="23"/>
      <c r="K22" s="23">
        <v>-10.043451272501553</v>
      </c>
    </row>
    <row r="23" spans="1:11" x14ac:dyDescent="0.25">
      <c r="A23" s="23">
        <v>1</v>
      </c>
      <c r="B23" s="24" t="s">
        <v>13</v>
      </c>
      <c r="C23" s="25">
        <v>462</v>
      </c>
      <c r="D23" s="23" t="s">
        <v>2</v>
      </c>
      <c r="E23" s="23" t="s">
        <v>37</v>
      </c>
      <c r="F23" s="29">
        <v>373</v>
      </c>
      <c r="G23" s="23">
        <v>314</v>
      </c>
      <c r="H23" s="23">
        <v>15.817694369973191</v>
      </c>
      <c r="I23" s="23">
        <v>0.47618824037598984</v>
      </c>
      <c r="J23" s="23"/>
      <c r="K23" s="23"/>
    </row>
    <row r="24" spans="1:11" x14ac:dyDescent="0.25">
      <c r="A24" s="23">
        <v>1</v>
      </c>
      <c r="B24" s="24" t="s">
        <v>13</v>
      </c>
      <c r="C24" s="25">
        <v>462</v>
      </c>
      <c r="D24" s="23" t="s">
        <v>3</v>
      </c>
      <c r="E24" s="23" t="s">
        <v>37</v>
      </c>
      <c r="F24" s="29">
        <v>285.5</v>
      </c>
      <c r="G24" s="23">
        <v>241.7</v>
      </c>
      <c r="H24" s="23">
        <v>15.341506129597201</v>
      </c>
      <c r="I24" s="23"/>
      <c r="J24" s="23">
        <v>1.2464540462638638</v>
      </c>
      <c r="K24" s="23"/>
    </row>
    <row r="25" spans="1:11" x14ac:dyDescent="0.25">
      <c r="A25" s="23">
        <v>1</v>
      </c>
      <c r="B25" s="24" t="s">
        <v>13</v>
      </c>
      <c r="C25" s="25">
        <v>462</v>
      </c>
      <c r="D25" s="23" t="s">
        <v>4</v>
      </c>
      <c r="E25" s="23" t="s">
        <v>37</v>
      </c>
      <c r="F25" s="29">
        <v>307.2</v>
      </c>
      <c r="G25" s="23">
        <v>263.89999999999998</v>
      </c>
      <c r="H25" s="23">
        <v>14.095052083333337</v>
      </c>
      <c r="I25" s="23"/>
      <c r="J25" s="23"/>
      <c r="K25" s="23">
        <v>-1.7226422866398536</v>
      </c>
    </row>
    <row r="26" spans="1:11" x14ac:dyDescent="0.25">
      <c r="A26" s="23">
        <v>1</v>
      </c>
      <c r="B26" s="27" t="s">
        <v>5</v>
      </c>
      <c r="C26" s="25">
        <v>709</v>
      </c>
      <c r="D26" s="23" t="s">
        <v>2</v>
      </c>
      <c r="E26" s="23" t="s">
        <v>38</v>
      </c>
      <c r="F26" s="26">
        <v>151.69999999999999</v>
      </c>
      <c r="G26" s="23">
        <v>120.7</v>
      </c>
      <c r="H26" s="23">
        <v>20.435069215557014</v>
      </c>
      <c r="I26" s="23">
        <v>4.1143820287281052</v>
      </c>
      <c r="J26" s="23"/>
      <c r="K26" s="23"/>
    </row>
    <row r="27" spans="1:11" x14ac:dyDescent="0.25">
      <c r="A27" s="23">
        <v>1</v>
      </c>
      <c r="B27" s="27" t="s">
        <v>5</v>
      </c>
      <c r="C27" s="25">
        <v>709</v>
      </c>
      <c r="D27" s="23" t="s">
        <v>3</v>
      </c>
      <c r="E27" s="23" t="s">
        <v>38</v>
      </c>
      <c r="F27" s="26">
        <v>139.69999999999999</v>
      </c>
      <c r="G27" s="23">
        <v>116.9</v>
      </c>
      <c r="H27" s="23">
        <v>16.320687186828909</v>
      </c>
      <c r="I27" s="23"/>
      <c r="J27" s="23">
        <v>1.1466997367433294</v>
      </c>
      <c r="K27" s="23"/>
    </row>
    <row r="28" spans="1:11" x14ac:dyDescent="0.25">
      <c r="A28" s="23">
        <v>1</v>
      </c>
      <c r="B28" s="27" t="s">
        <v>5</v>
      </c>
      <c r="C28" s="25">
        <v>709</v>
      </c>
      <c r="D28" s="23" t="s">
        <v>4</v>
      </c>
      <c r="E28" s="23" t="s">
        <v>38</v>
      </c>
      <c r="F28" s="26">
        <v>175.3</v>
      </c>
      <c r="G28" s="23">
        <v>148.69999999999999</v>
      </c>
      <c r="H28" s="23">
        <v>15.17398745008558</v>
      </c>
      <c r="I28" s="23"/>
      <c r="J28" s="23"/>
      <c r="K28" s="23">
        <v>-5.2610817654714346</v>
      </c>
    </row>
    <row r="29" spans="1:11" x14ac:dyDescent="0.25">
      <c r="A29" s="23">
        <v>1</v>
      </c>
      <c r="B29" s="24" t="s">
        <v>14</v>
      </c>
      <c r="C29" s="25">
        <v>463</v>
      </c>
      <c r="D29" s="23" t="s">
        <v>2</v>
      </c>
      <c r="E29" s="23" t="s">
        <v>37</v>
      </c>
      <c r="F29" s="29">
        <v>312.8</v>
      </c>
      <c r="G29" s="23">
        <v>206</v>
      </c>
      <c r="H29" s="23"/>
      <c r="I29" s="23"/>
      <c r="J29" s="23"/>
      <c r="K29" s="23"/>
    </row>
    <row r="30" spans="1:11" x14ac:dyDescent="0.25">
      <c r="A30" s="23">
        <v>1</v>
      </c>
      <c r="B30" s="24" t="s">
        <v>14</v>
      </c>
      <c r="C30" s="25">
        <v>463</v>
      </c>
      <c r="D30" s="23" t="s">
        <v>3</v>
      </c>
      <c r="E30" s="23" t="s">
        <v>37</v>
      </c>
      <c r="F30" s="29">
        <v>236.5</v>
      </c>
      <c r="G30" s="23">
        <v>197</v>
      </c>
      <c r="H30" s="23">
        <v>16.701902748414376</v>
      </c>
      <c r="I30" s="23"/>
      <c r="J30" s="23">
        <v>-0.49335900168115288</v>
      </c>
      <c r="K30" s="23"/>
    </row>
    <row r="31" spans="1:11" x14ac:dyDescent="0.25">
      <c r="A31" s="23">
        <v>1</v>
      </c>
      <c r="B31" s="24" t="s">
        <v>14</v>
      </c>
      <c r="C31" s="25">
        <v>463</v>
      </c>
      <c r="D31" s="23" t="s">
        <v>4</v>
      </c>
      <c r="E31" s="23" t="s">
        <v>37</v>
      </c>
      <c r="F31" s="29">
        <v>261.7</v>
      </c>
      <c r="G31" s="23">
        <v>216.7</v>
      </c>
      <c r="H31" s="23">
        <v>17.195261750095529</v>
      </c>
      <c r="I31" s="23"/>
      <c r="J31" s="23"/>
      <c r="K31" s="23"/>
    </row>
    <row r="32" spans="1:11" x14ac:dyDescent="0.25">
      <c r="A32" s="23">
        <v>2</v>
      </c>
      <c r="B32" s="30" t="s">
        <v>15</v>
      </c>
      <c r="C32" s="25">
        <v>464</v>
      </c>
      <c r="D32" s="23" t="s">
        <v>2</v>
      </c>
      <c r="E32" s="23" t="s">
        <v>37</v>
      </c>
      <c r="F32" s="29">
        <v>302.89999999999998</v>
      </c>
      <c r="G32" s="23">
        <v>264.2</v>
      </c>
      <c r="H32" s="23">
        <v>12.776493892373718</v>
      </c>
      <c r="I32" s="23">
        <v>1.6736071418185734</v>
      </c>
      <c r="J32" s="23"/>
      <c r="K32" s="23"/>
    </row>
    <row r="33" spans="1:11" x14ac:dyDescent="0.25">
      <c r="A33" s="23">
        <v>2</v>
      </c>
      <c r="B33" s="30" t="s">
        <v>15</v>
      </c>
      <c r="C33" s="25">
        <v>464</v>
      </c>
      <c r="D33" s="23" t="s">
        <v>3</v>
      </c>
      <c r="E33" s="23" t="s">
        <v>37</v>
      </c>
      <c r="F33" s="29">
        <v>270.2</v>
      </c>
      <c r="G33" s="23">
        <v>240.2</v>
      </c>
      <c r="H33" s="23">
        <v>11.102886750555145</v>
      </c>
      <c r="I33" s="23"/>
      <c r="J33" s="23">
        <v>-0.42900391003711036</v>
      </c>
      <c r="K33" s="23"/>
    </row>
    <row r="34" spans="1:11" x14ac:dyDescent="0.25">
      <c r="A34" s="23">
        <v>2</v>
      </c>
      <c r="B34" s="30" t="s">
        <v>15</v>
      </c>
      <c r="C34" s="25">
        <v>464</v>
      </c>
      <c r="D34" s="23" t="s">
        <v>4</v>
      </c>
      <c r="E34" s="23" t="s">
        <v>37</v>
      </c>
      <c r="F34" s="29">
        <v>351.2</v>
      </c>
      <c r="G34" s="23">
        <v>310.7</v>
      </c>
      <c r="H34" s="23">
        <v>11.531890660592255</v>
      </c>
      <c r="I34" s="23"/>
      <c r="J34" s="23"/>
      <c r="K34" s="23">
        <v>-1.244603231781463</v>
      </c>
    </row>
    <row r="35" spans="1:11" x14ac:dyDescent="0.25">
      <c r="A35" s="23">
        <v>2</v>
      </c>
      <c r="B35" s="30" t="s">
        <v>16</v>
      </c>
      <c r="C35" s="25">
        <v>465</v>
      </c>
      <c r="D35" s="23" t="s">
        <v>2</v>
      </c>
      <c r="E35" s="23" t="s">
        <v>37</v>
      </c>
      <c r="F35" s="29">
        <v>322.3</v>
      </c>
      <c r="G35" s="23">
        <v>281.2</v>
      </c>
      <c r="H35" s="23">
        <v>12.752094322060197</v>
      </c>
      <c r="I35" s="23">
        <v>-1.4035132761703615</v>
      </c>
      <c r="J35" s="23"/>
      <c r="K35" s="23"/>
    </row>
    <row r="36" spans="1:11" x14ac:dyDescent="0.25">
      <c r="A36" s="23">
        <v>2</v>
      </c>
      <c r="B36" s="30" t="s">
        <v>16</v>
      </c>
      <c r="C36" s="25">
        <v>465</v>
      </c>
      <c r="D36" s="23" t="s">
        <v>3</v>
      </c>
      <c r="E36" s="23" t="s">
        <v>37</v>
      </c>
      <c r="F36" s="29">
        <v>384.3</v>
      </c>
      <c r="G36" s="23">
        <v>329.9</v>
      </c>
      <c r="H36" s="23">
        <v>14.155607598230558</v>
      </c>
      <c r="I36" s="23"/>
      <c r="J36" s="23">
        <v>8.458319782484125E-3</v>
      </c>
      <c r="K36" s="23"/>
    </row>
    <row r="37" spans="1:11" x14ac:dyDescent="0.25">
      <c r="A37" s="23">
        <v>2</v>
      </c>
      <c r="B37" s="30" t="s">
        <v>16</v>
      </c>
      <c r="C37" s="25">
        <v>465</v>
      </c>
      <c r="D37" s="23" t="s">
        <v>4</v>
      </c>
      <c r="E37" s="23" t="s">
        <v>37</v>
      </c>
      <c r="F37" s="29">
        <v>422.7</v>
      </c>
      <c r="G37" s="23">
        <v>362.9</v>
      </c>
      <c r="H37" s="23">
        <v>14.147149278448074</v>
      </c>
      <c r="I37" s="23"/>
      <c r="J37" s="23"/>
      <c r="K37" s="23">
        <v>1.3950549563878774</v>
      </c>
    </row>
    <row r="38" spans="1:11" x14ac:dyDescent="0.25">
      <c r="A38" s="23">
        <v>2</v>
      </c>
      <c r="B38" s="30" t="s">
        <v>17</v>
      </c>
      <c r="C38" s="25">
        <v>466</v>
      </c>
      <c r="D38" s="23" t="s">
        <v>2</v>
      </c>
      <c r="E38" s="23" t="s">
        <v>37</v>
      </c>
      <c r="F38" s="29">
        <v>424</v>
      </c>
      <c r="G38" s="23">
        <v>358.8</v>
      </c>
      <c r="H38" s="23">
        <v>15.377358490566035</v>
      </c>
      <c r="I38" s="23">
        <v>0.98579394226167416</v>
      </c>
      <c r="J38" s="23"/>
      <c r="K38" s="23"/>
    </row>
    <row r="39" spans="1:11" x14ac:dyDescent="0.25">
      <c r="A39" s="23">
        <v>2</v>
      </c>
      <c r="B39" s="30" t="s">
        <v>17</v>
      </c>
      <c r="C39" s="25">
        <v>466</v>
      </c>
      <c r="D39" s="23" t="s">
        <v>3</v>
      </c>
      <c r="E39" s="23" t="s">
        <v>37</v>
      </c>
      <c r="F39" s="29">
        <v>350.9</v>
      </c>
      <c r="G39" s="23">
        <v>300.39999999999998</v>
      </c>
      <c r="H39" s="23">
        <v>14.391564548304361</v>
      </c>
      <c r="I39" s="23"/>
      <c r="J39" s="23">
        <v>0.28442169116150851</v>
      </c>
      <c r="K39" s="23"/>
    </row>
    <row r="40" spans="1:11" x14ac:dyDescent="0.25">
      <c r="A40" s="23">
        <v>2</v>
      </c>
      <c r="B40" s="30" t="s">
        <v>17</v>
      </c>
      <c r="C40" s="25">
        <v>466</v>
      </c>
      <c r="D40" s="23" t="s">
        <v>4</v>
      </c>
      <c r="E40" s="23" t="s">
        <v>37</v>
      </c>
      <c r="F40" s="29">
        <v>336</v>
      </c>
      <c r="G40" s="23">
        <v>288.60000000000002</v>
      </c>
      <c r="H40" s="23">
        <v>14.107142857142852</v>
      </c>
      <c r="I40" s="23"/>
      <c r="J40" s="23"/>
      <c r="K40" s="23">
        <v>-1.2702156334231827</v>
      </c>
    </row>
    <row r="41" spans="1:11" x14ac:dyDescent="0.25">
      <c r="A41" s="23">
        <v>2</v>
      </c>
      <c r="B41" s="30" t="s">
        <v>18</v>
      </c>
      <c r="C41" s="25">
        <v>467</v>
      </c>
      <c r="D41" s="23" t="s">
        <v>2</v>
      </c>
      <c r="E41" s="23" t="s">
        <v>37</v>
      </c>
      <c r="F41" s="29">
        <v>515.9</v>
      </c>
      <c r="G41" s="23">
        <v>445.7</v>
      </c>
      <c r="H41" s="23">
        <v>13.607288234153904</v>
      </c>
      <c r="I41" s="23">
        <v>2.3990929946239277</v>
      </c>
      <c r="J41" s="23"/>
      <c r="K41" s="23"/>
    </row>
    <row r="42" spans="1:11" x14ac:dyDescent="0.25">
      <c r="A42" s="23">
        <v>2</v>
      </c>
      <c r="B42" s="30" t="s">
        <v>18</v>
      </c>
      <c r="C42" s="25">
        <v>467</v>
      </c>
      <c r="D42" s="23" t="s">
        <v>3</v>
      </c>
      <c r="E42" s="23" t="s">
        <v>37</v>
      </c>
      <c r="F42" s="31">
        <v>331.9</v>
      </c>
      <c r="G42" s="23">
        <v>294.7</v>
      </c>
      <c r="H42" s="23">
        <v>11.208195239529976</v>
      </c>
      <c r="I42" s="23"/>
      <c r="J42" s="23">
        <v>0.68354290071835955</v>
      </c>
      <c r="K42" s="23"/>
    </row>
    <row r="43" spans="1:11" x14ac:dyDescent="0.25">
      <c r="A43" s="23">
        <v>2</v>
      </c>
      <c r="B43" s="30" t="s">
        <v>18</v>
      </c>
      <c r="C43" s="25">
        <v>467</v>
      </c>
      <c r="D43" s="23" t="s">
        <v>4</v>
      </c>
      <c r="E43" s="23" t="s">
        <v>37</v>
      </c>
      <c r="F43" s="29">
        <v>316.39999999999998</v>
      </c>
      <c r="G43" s="23">
        <v>283.10000000000002</v>
      </c>
      <c r="H43" s="23">
        <v>10.524652338811617</v>
      </c>
      <c r="I43" s="23"/>
      <c r="J43" s="23"/>
      <c r="K43" s="23">
        <v>-3.0826358953422872</v>
      </c>
    </row>
    <row r="44" spans="1:11" x14ac:dyDescent="0.25">
      <c r="A44" s="23">
        <v>2</v>
      </c>
      <c r="B44" s="30" t="s">
        <v>19</v>
      </c>
      <c r="C44" s="25">
        <v>468</v>
      </c>
      <c r="D44" s="23" t="s">
        <v>2</v>
      </c>
      <c r="E44" s="23" t="s">
        <v>37</v>
      </c>
      <c r="F44" s="29">
        <v>399.9</v>
      </c>
      <c r="G44" s="23">
        <v>342.8</v>
      </c>
      <c r="H44" s="23">
        <v>14.278569642410595</v>
      </c>
      <c r="I44" s="23">
        <v>1.7553785477909276</v>
      </c>
      <c r="J44" s="23"/>
      <c r="K44" s="23"/>
    </row>
    <row r="45" spans="1:11" x14ac:dyDescent="0.25">
      <c r="A45" s="23">
        <v>2</v>
      </c>
      <c r="B45" s="30" t="s">
        <v>19</v>
      </c>
      <c r="C45" s="25">
        <v>468</v>
      </c>
      <c r="D45" s="23" t="s">
        <v>3</v>
      </c>
      <c r="E45" s="23" t="s">
        <v>37</v>
      </c>
      <c r="F45" s="29">
        <v>323.39999999999998</v>
      </c>
      <c r="G45" s="23">
        <v>282.89999999999998</v>
      </c>
      <c r="H45" s="23">
        <v>12.523191094619667</v>
      </c>
      <c r="I45" s="23"/>
      <c r="J45" s="23">
        <v>-0.84728244298479005</v>
      </c>
      <c r="K45" s="23"/>
    </row>
    <row r="46" spans="1:11" x14ac:dyDescent="0.25">
      <c r="A46" s="23">
        <v>2</v>
      </c>
      <c r="B46" s="30" t="s">
        <v>19</v>
      </c>
      <c r="C46" s="25">
        <v>468</v>
      </c>
      <c r="D46" s="23" t="s">
        <v>4</v>
      </c>
      <c r="E46" s="23" t="s">
        <v>37</v>
      </c>
      <c r="F46" s="29">
        <v>359</v>
      </c>
      <c r="G46" s="23">
        <v>311</v>
      </c>
      <c r="H46" s="23">
        <v>13.370473537604457</v>
      </c>
      <c r="I46" s="23"/>
      <c r="J46" s="23"/>
      <c r="K46" s="23">
        <v>-0.90809610480613756</v>
      </c>
    </row>
    <row r="47" spans="1:11" x14ac:dyDescent="0.25">
      <c r="A47" s="23">
        <v>2</v>
      </c>
      <c r="B47" s="30" t="s">
        <v>20</v>
      </c>
      <c r="C47" s="25">
        <v>469</v>
      </c>
      <c r="D47" s="23" t="s">
        <v>2</v>
      </c>
      <c r="E47" s="23" t="s">
        <v>37</v>
      </c>
      <c r="F47" s="29">
        <v>514.5</v>
      </c>
      <c r="G47" s="23">
        <v>439.5</v>
      </c>
      <c r="H47" s="23">
        <v>14.577259475218659</v>
      </c>
      <c r="I47" s="23">
        <v>2.3347297392163409</v>
      </c>
      <c r="J47" s="23"/>
      <c r="K47" s="23"/>
    </row>
    <row r="48" spans="1:11" x14ac:dyDescent="0.25">
      <c r="A48" s="23">
        <v>2</v>
      </c>
      <c r="B48" s="30" t="s">
        <v>20</v>
      </c>
      <c r="C48" s="25">
        <v>469</v>
      </c>
      <c r="D48" s="23" t="s">
        <v>3</v>
      </c>
      <c r="E48" s="23" t="s">
        <v>37</v>
      </c>
      <c r="F48" s="29">
        <v>344.7</v>
      </c>
      <c r="G48" s="23">
        <v>302.5</v>
      </c>
      <c r="H48" s="23">
        <v>12.242529736002318</v>
      </c>
      <c r="I48" s="23"/>
      <c r="J48" s="23">
        <v>-0.31123370485789437</v>
      </c>
      <c r="K48" s="23"/>
    </row>
    <row r="49" spans="1:11" x14ac:dyDescent="0.25">
      <c r="A49" s="23">
        <v>2</v>
      </c>
      <c r="B49" s="30" t="s">
        <v>20</v>
      </c>
      <c r="C49" s="25">
        <v>469</v>
      </c>
      <c r="D49" s="23" t="s">
        <v>4</v>
      </c>
      <c r="E49" s="23" t="s">
        <v>37</v>
      </c>
      <c r="F49" s="29">
        <v>372</v>
      </c>
      <c r="G49" s="23">
        <v>325.3</v>
      </c>
      <c r="H49" s="23">
        <v>12.553763440860212</v>
      </c>
      <c r="I49" s="23"/>
      <c r="J49" s="23"/>
      <c r="K49" s="23">
        <v>-2.0234960343584465</v>
      </c>
    </row>
    <row r="50" spans="1:11" x14ac:dyDescent="0.25">
      <c r="A50" s="23">
        <v>2</v>
      </c>
      <c r="B50" s="30" t="s">
        <v>21</v>
      </c>
      <c r="C50" s="25">
        <v>716</v>
      </c>
      <c r="D50" s="23" t="s">
        <v>2</v>
      </c>
      <c r="E50" s="23" t="s">
        <v>37</v>
      </c>
      <c r="F50" s="32">
        <v>344.5</v>
      </c>
      <c r="G50" s="23">
        <v>294.2</v>
      </c>
      <c r="H50" s="23">
        <v>14.600870827285924</v>
      </c>
      <c r="I50" s="23">
        <v>1.5158954578277957</v>
      </c>
      <c r="J50" s="23"/>
      <c r="K50" s="23"/>
    </row>
    <row r="51" spans="1:11" x14ac:dyDescent="0.25">
      <c r="A51" s="23">
        <v>2</v>
      </c>
      <c r="B51" s="30" t="s">
        <v>21</v>
      </c>
      <c r="C51" s="25">
        <v>716</v>
      </c>
      <c r="D51" s="23" t="s">
        <v>3</v>
      </c>
      <c r="E51" s="23" t="s">
        <v>37</v>
      </c>
      <c r="F51" s="32">
        <v>324.8</v>
      </c>
      <c r="G51" s="23">
        <v>282.3</v>
      </c>
      <c r="H51" s="23">
        <v>13.084975369458128</v>
      </c>
      <c r="I51" s="23"/>
      <c r="J51" s="23">
        <v>-1.9567347452446988</v>
      </c>
      <c r="K51" s="23"/>
    </row>
    <row r="52" spans="1:11" x14ac:dyDescent="0.25">
      <c r="A52" s="23">
        <v>2</v>
      </c>
      <c r="B52" s="30" t="s">
        <v>21</v>
      </c>
      <c r="C52" s="25">
        <v>716</v>
      </c>
      <c r="D52" s="23" t="s">
        <v>4</v>
      </c>
      <c r="E52" s="23" t="s">
        <v>37</v>
      </c>
      <c r="F52" s="32">
        <v>383.6</v>
      </c>
      <c r="G52" s="23">
        <v>325.89999999999998</v>
      </c>
      <c r="H52" s="23">
        <v>15.041710114702827</v>
      </c>
      <c r="I52" s="23"/>
      <c r="J52" s="23"/>
      <c r="K52" s="23">
        <v>0.44083928741690315</v>
      </c>
    </row>
    <row r="53" spans="1:11" x14ac:dyDescent="0.25">
      <c r="A53" s="23">
        <v>2</v>
      </c>
      <c r="B53" s="30" t="s">
        <v>22</v>
      </c>
      <c r="C53" s="25">
        <v>718</v>
      </c>
      <c r="D53" s="23" t="s">
        <v>2</v>
      </c>
      <c r="E53" s="23" t="s">
        <v>37</v>
      </c>
      <c r="F53" s="32">
        <v>370.1</v>
      </c>
      <c r="G53" s="23">
        <v>299.8</v>
      </c>
      <c r="H53" s="23">
        <v>18.994866252364226</v>
      </c>
      <c r="I53" s="23">
        <v>3.7030662031152684</v>
      </c>
      <c r="J53" s="23"/>
      <c r="K53" s="23"/>
    </row>
    <row r="54" spans="1:11" x14ac:dyDescent="0.25">
      <c r="A54" s="23">
        <v>2</v>
      </c>
      <c r="B54" s="30" t="s">
        <v>22</v>
      </c>
      <c r="C54" s="25">
        <v>718</v>
      </c>
      <c r="D54" s="23" t="s">
        <v>3</v>
      </c>
      <c r="E54" s="23" t="s">
        <v>37</v>
      </c>
      <c r="F54" s="32">
        <v>406.1</v>
      </c>
      <c r="G54" s="23">
        <v>344</v>
      </c>
      <c r="H54" s="23">
        <v>15.291800049248957</v>
      </c>
      <c r="I54" s="23"/>
      <c r="J54" s="23">
        <v>-0.55626805815117741</v>
      </c>
      <c r="K54" s="23"/>
    </row>
    <row r="55" spans="1:11" x14ac:dyDescent="0.25">
      <c r="A55" s="23">
        <v>2</v>
      </c>
      <c r="B55" s="30" t="s">
        <v>22</v>
      </c>
      <c r="C55" s="25">
        <v>718</v>
      </c>
      <c r="D55" s="23" t="s">
        <v>4</v>
      </c>
      <c r="E55" s="23" t="s">
        <v>37</v>
      </c>
      <c r="F55" s="32">
        <v>458.1</v>
      </c>
      <c r="G55" s="23">
        <v>385.5</v>
      </c>
      <c r="H55" s="23">
        <v>15.848068107400135</v>
      </c>
      <c r="I55" s="23"/>
      <c r="J55" s="23"/>
      <c r="K55" s="23">
        <v>-3.1467981449640909</v>
      </c>
    </row>
    <row r="56" spans="1:11" x14ac:dyDescent="0.25">
      <c r="A56" s="23">
        <v>2</v>
      </c>
      <c r="B56" s="30" t="s">
        <v>23</v>
      </c>
      <c r="C56" s="25">
        <v>719</v>
      </c>
      <c r="D56" s="23" t="s">
        <v>2</v>
      </c>
      <c r="E56" s="23" t="s">
        <v>37</v>
      </c>
      <c r="F56" s="32">
        <v>394</v>
      </c>
      <c r="G56" s="23">
        <v>341.4</v>
      </c>
      <c r="H56" s="23">
        <v>13.350253807106604</v>
      </c>
      <c r="I56" s="23">
        <v>1.1489959454713841</v>
      </c>
      <c r="J56" s="23"/>
      <c r="K56" s="23"/>
    </row>
    <row r="57" spans="1:11" x14ac:dyDescent="0.25">
      <c r="A57" s="23">
        <v>2</v>
      </c>
      <c r="B57" s="30" t="s">
        <v>23</v>
      </c>
      <c r="C57" s="25">
        <v>719</v>
      </c>
      <c r="D57" s="23" t="s">
        <v>3</v>
      </c>
      <c r="E57" s="23" t="s">
        <v>37</v>
      </c>
      <c r="F57" s="32">
        <v>397.5</v>
      </c>
      <c r="G57" s="23">
        <v>349</v>
      </c>
      <c r="H57" s="23">
        <v>12.20125786163522</v>
      </c>
      <c r="I57" s="23"/>
      <c r="J57" s="23">
        <v>-1.0780579159925079</v>
      </c>
      <c r="K57" s="23"/>
    </row>
    <row r="58" spans="1:11" x14ac:dyDescent="0.25">
      <c r="A58" s="23">
        <v>2</v>
      </c>
      <c r="B58" s="30" t="s">
        <v>23</v>
      </c>
      <c r="C58" s="25">
        <v>719</v>
      </c>
      <c r="D58" s="23" t="s">
        <v>4</v>
      </c>
      <c r="E58" s="23" t="s">
        <v>37</v>
      </c>
      <c r="F58" s="32">
        <v>444.3</v>
      </c>
      <c r="G58" s="23">
        <v>385.3</v>
      </c>
      <c r="H58" s="23">
        <v>13.279315777627728</v>
      </c>
      <c r="I58" s="23"/>
      <c r="J58" s="23"/>
      <c r="K58" s="23">
        <v>-7.0938029478876174E-2</v>
      </c>
    </row>
    <row r="59" spans="1:11" x14ac:dyDescent="0.25">
      <c r="A59" s="23">
        <v>2</v>
      </c>
      <c r="B59" s="30" t="s">
        <v>24</v>
      </c>
      <c r="C59" s="25">
        <v>720</v>
      </c>
      <c r="D59" s="23" t="s">
        <v>2</v>
      </c>
      <c r="E59" s="23" t="s">
        <v>37</v>
      </c>
      <c r="F59" s="32">
        <v>447.2</v>
      </c>
      <c r="G59" s="23">
        <v>377.3</v>
      </c>
      <c r="H59" s="23">
        <v>15.630590339892661</v>
      </c>
      <c r="I59" s="23">
        <v>1.7825511242063872</v>
      </c>
      <c r="J59" s="23"/>
      <c r="K59" s="23"/>
    </row>
    <row r="60" spans="1:11" x14ac:dyDescent="0.25">
      <c r="A60" s="23">
        <v>2</v>
      </c>
      <c r="B60" s="30" t="s">
        <v>24</v>
      </c>
      <c r="C60" s="25">
        <v>720</v>
      </c>
      <c r="D60" s="23" t="s">
        <v>3</v>
      </c>
      <c r="E60" s="23" t="s">
        <v>37</v>
      </c>
      <c r="F60" s="32">
        <v>408</v>
      </c>
      <c r="G60" s="23">
        <v>351.5</v>
      </c>
      <c r="H60" s="23">
        <v>13.848039215686274</v>
      </c>
      <c r="I60" s="23"/>
      <c r="J60" s="23">
        <v>0.66491361645329228</v>
      </c>
      <c r="K60" s="23"/>
    </row>
    <row r="61" spans="1:11" x14ac:dyDescent="0.25">
      <c r="A61" s="23">
        <v>2</v>
      </c>
      <c r="B61" s="30" t="s">
        <v>24</v>
      </c>
      <c r="C61" s="25">
        <v>720</v>
      </c>
      <c r="D61" s="23" t="s">
        <v>4</v>
      </c>
      <c r="E61" s="23" t="s">
        <v>37</v>
      </c>
      <c r="F61" s="32">
        <v>417.2</v>
      </c>
      <c r="G61" s="23">
        <v>362.2</v>
      </c>
      <c r="H61" s="23">
        <v>13.183125599232982</v>
      </c>
      <c r="I61" s="23"/>
      <c r="J61" s="23"/>
      <c r="K61" s="23">
        <v>-2.4474647406596794</v>
      </c>
    </row>
    <row r="62" spans="1:11" x14ac:dyDescent="0.25">
      <c r="A62" s="23">
        <v>3</v>
      </c>
      <c r="B62" s="33" t="s">
        <v>25</v>
      </c>
      <c r="C62" s="25">
        <v>721</v>
      </c>
      <c r="D62" s="23" t="s">
        <v>2</v>
      </c>
      <c r="E62" s="23" t="s">
        <v>37</v>
      </c>
      <c r="F62" s="32">
        <v>349.9</v>
      </c>
      <c r="G62" s="23">
        <v>266.8</v>
      </c>
      <c r="H62" s="23">
        <v>23.74964275507287</v>
      </c>
      <c r="I62" s="23">
        <v>4.0637505265323917</v>
      </c>
      <c r="J62" s="23"/>
      <c r="K62" s="23"/>
    </row>
    <row r="63" spans="1:11" x14ac:dyDescent="0.25">
      <c r="A63" s="23">
        <v>3</v>
      </c>
      <c r="B63" s="33" t="s">
        <v>25</v>
      </c>
      <c r="C63" s="25">
        <v>721</v>
      </c>
      <c r="D63" s="23" t="s">
        <v>3</v>
      </c>
      <c r="E63" s="23" t="s">
        <v>37</v>
      </c>
      <c r="F63" s="32">
        <v>369.3</v>
      </c>
      <c r="G63" s="23">
        <v>296.60000000000002</v>
      </c>
      <c r="H63" s="23">
        <v>19.685892228540478</v>
      </c>
      <c r="I63" s="23"/>
      <c r="J63" s="23">
        <v>-1.8376251538726045</v>
      </c>
      <c r="K63" s="23"/>
    </row>
    <row r="64" spans="1:11" x14ac:dyDescent="0.25">
      <c r="A64" s="23">
        <v>3</v>
      </c>
      <c r="B64" s="33" t="s">
        <v>25</v>
      </c>
      <c r="C64" s="25">
        <v>721</v>
      </c>
      <c r="D64" s="23" t="s">
        <v>4</v>
      </c>
      <c r="E64" s="23" t="s">
        <v>37</v>
      </c>
      <c r="F64" s="32">
        <v>391.2</v>
      </c>
      <c r="G64" s="23">
        <v>307</v>
      </c>
      <c r="H64" s="23">
        <v>21.523517382413083</v>
      </c>
      <c r="I64" s="23"/>
      <c r="J64" s="23"/>
      <c r="K64" s="23">
        <v>-2.2261253726597872</v>
      </c>
    </row>
    <row r="65" spans="1:11" x14ac:dyDescent="0.25">
      <c r="A65" s="23">
        <v>3</v>
      </c>
      <c r="B65" s="33" t="s">
        <v>26</v>
      </c>
      <c r="C65" s="25">
        <v>722</v>
      </c>
      <c r="D65" s="23" t="s">
        <v>2</v>
      </c>
      <c r="E65" s="23" t="s">
        <v>37</v>
      </c>
      <c r="F65" s="32">
        <v>343.5</v>
      </c>
      <c r="G65" s="23">
        <v>247.4</v>
      </c>
      <c r="H65" s="23">
        <v>27.976710334788937</v>
      </c>
      <c r="I65" s="23">
        <v>3.1530149892318136</v>
      </c>
      <c r="J65" s="23"/>
      <c r="K65" s="23"/>
    </row>
    <row r="66" spans="1:11" x14ac:dyDescent="0.25">
      <c r="A66" s="23">
        <v>3</v>
      </c>
      <c r="B66" s="33" t="s">
        <v>26</v>
      </c>
      <c r="C66" s="25">
        <v>722</v>
      </c>
      <c r="D66" s="23" t="s">
        <v>3</v>
      </c>
      <c r="E66" s="23" t="s">
        <v>37</v>
      </c>
      <c r="F66" s="32">
        <v>354.5</v>
      </c>
      <c r="G66" s="23">
        <v>266.5</v>
      </c>
      <c r="H66" s="23">
        <v>24.823695345557123</v>
      </c>
      <c r="I66" s="23"/>
      <c r="J66" s="23">
        <v>-0.54582246398975798</v>
      </c>
      <c r="K66" s="23"/>
    </row>
    <row r="67" spans="1:11" x14ac:dyDescent="0.25">
      <c r="A67" s="23">
        <v>3</v>
      </c>
      <c r="B67" s="33" t="s">
        <v>26</v>
      </c>
      <c r="C67" s="25">
        <v>722</v>
      </c>
      <c r="D67" s="23" t="s">
        <v>4</v>
      </c>
      <c r="E67" s="23" t="s">
        <v>37</v>
      </c>
      <c r="F67" s="32">
        <v>412.7</v>
      </c>
      <c r="G67" s="23">
        <v>308</v>
      </c>
      <c r="H67" s="23">
        <v>25.369517809546881</v>
      </c>
      <c r="I67" s="23"/>
      <c r="J67" s="23"/>
      <c r="K67" s="23">
        <v>-2.6071925252420556</v>
      </c>
    </row>
    <row r="68" spans="1:11" x14ac:dyDescent="0.25">
      <c r="A68" s="23">
        <v>3</v>
      </c>
      <c r="B68" s="33" t="s">
        <v>27</v>
      </c>
      <c r="C68" s="25">
        <v>723</v>
      </c>
      <c r="D68" s="23" t="s">
        <v>2</v>
      </c>
      <c r="E68" s="23" t="s">
        <v>37</v>
      </c>
      <c r="F68" s="32">
        <v>403.5</v>
      </c>
      <c r="G68" s="23">
        <v>317.60000000000002</v>
      </c>
      <c r="H68" s="23">
        <v>21.28872366790582</v>
      </c>
      <c r="I68" s="23">
        <v>2.353812425302273</v>
      </c>
      <c r="J68" s="23"/>
      <c r="K68" s="23"/>
    </row>
    <row r="69" spans="1:11" x14ac:dyDescent="0.25">
      <c r="A69" s="23">
        <v>3</v>
      </c>
      <c r="B69" s="33" t="s">
        <v>27</v>
      </c>
      <c r="C69" s="25">
        <v>723</v>
      </c>
      <c r="D69" s="23" t="s">
        <v>3</v>
      </c>
      <c r="E69" s="23" t="s">
        <v>37</v>
      </c>
      <c r="F69" s="32">
        <v>439.4</v>
      </c>
      <c r="G69" s="23">
        <v>356.2</v>
      </c>
      <c r="H69" s="23">
        <v>18.934911242603548</v>
      </c>
      <c r="I69" s="23"/>
      <c r="J69" s="23">
        <v>-0.82402117237708339</v>
      </c>
      <c r="K69" s="23"/>
    </row>
    <row r="70" spans="1:11" x14ac:dyDescent="0.25">
      <c r="A70" s="23">
        <v>3</v>
      </c>
      <c r="B70" s="33" t="s">
        <v>27</v>
      </c>
      <c r="C70" s="25">
        <v>723</v>
      </c>
      <c r="D70" s="23" t="s">
        <v>4</v>
      </c>
      <c r="E70" s="23" t="s">
        <v>37</v>
      </c>
      <c r="F70" s="32">
        <v>464.6</v>
      </c>
      <c r="G70" s="23">
        <v>372.8</v>
      </c>
      <c r="H70" s="23">
        <v>19.758932414980631</v>
      </c>
      <c r="I70" s="23"/>
      <c r="J70" s="23"/>
      <c r="K70" s="23">
        <v>-1.5297912529251896</v>
      </c>
    </row>
    <row r="71" spans="1:11" x14ac:dyDescent="0.25">
      <c r="A71" s="23">
        <v>3</v>
      </c>
      <c r="B71" s="33" t="s">
        <v>28</v>
      </c>
      <c r="C71" s="25">
        <v>724</v>
      </c>
      <c r="D71" s="23" t="s">
        <v>2</v>
      </c>
      <c r="E71" s="23" t="s">
        <v>37</v>
      </c>
      <c r="F71" s="34">
        <v>455</v>
      </c>
      <c r="G71" s="23">
        <v>359.6</v>
      </c>
      <c r="H71" s="23">
        <v>20.967032967032964</v>
      </c>
      <c r="I71" s="23">
        <v>1.0480803485790879</v>
      </c>
      <c r="J71" s="23"/>
      <c r="K71" s="23"/>
    </row>
    <row r="72" spans="1:11" x14ac:dyDescent="0.25">
      <c r="A72" s="23">
        <v>3</v>
      </c>
      <c r="B72" s="33" t="s">
        <v>28</v>
      </c>
      <c r="C72" s="25">
        <v>724</v>
      </c>
      <c r="D72" s="23" t="s">
        <v>3</v>
      </c>
      <c r="E72" s="23" t="s">
        <v>37</v>
      </c>
      <c r="F72" s="34">
        <v>320.8</v>
      </c>
      <c r="G72" s="23">
        <v>256.89999999999998</v>
      </c>
      <c r="H72" s="23">
        <v>19.918952618453876</v>
      </c>
      <c r="I72" s="23"/>
      <c r="J72" s="23">
        <v>0.7979480522438287</v>
      </c>
      <c r="K72" s="23"/>
    </row>
    <row r="73" spans="1:11" x14ac:dyDescent="0.25">
      <c r="A73" s="23">
        <v>3</v>
      </c>
      <c r="B73" s="33" t="s">
        <v>28</v>
      </c>
      <c r="C73" s="25">
        <v>724</v>
      </c>
      <c r="D73" s="23" t="s">
        <v>4</v>
      </c>
      <c r="E73" s="23" t="s">
        <v>37</v>
      </c>
      <c r="F73" s="34">
        <v>350.4</v>
      </c>
      <c r="G73" s="23">
        <v>283.39999999999998</v>
      </c>
      <c r="H73" s="23">
        <v>19.121004566210047</v>
      </c>
      <c r="I73" s="23"/>
      <c r="J73" s="23"/>
      <c r="K73" s="23">
        <v>-1.8460284008229166</v>
      </c>
    </row>
    <row r="74" spans="1:11" x14ac:dyDescent="0.25">
      <c r="A74" s="23">
        <v>3</v>
      </c>
      <c r="B74" s="33" t="s">
        <v>29</v>
      </c>
      <c r="C74" s="25">
        <v>725</v>
      </c>
      <c r="D74" s="23" t="s">
        <v>2</v>
      </c>
      <c r="E74" s="23" t="s">
        <v>52</v>
      </c>
      <c r="F74" s="34">
        <v>329.4</v>
      </c>
      <c r="G74" s="23">
        <v>266.89999999999998</v>
      </c>
      <c r="H74" s="23">
        <v>18.973891924711598</v>
      </c>
      <c r="I74" s="23">
        <v>0.95335037475827278</v>
      </c>
      <c r="J74" s="23"/>
      <c r="K74" s="23"/>
    </row>
    <row r="75" spans="1:11" x14ac:dyDescent="0.25">
      <c r="A75" s="23">
        <v>3</v>
      </c>
      <c r="B75" s="33" t="s">
        <v>29</v>
      </c>
      <c r="C75" s="25">
        <v>725</v>
      </c>
      <c r="D75" s="23" t="s">
        <v>3</v>
      </c>
      <c r="E75" s="23" t="s">
        <v>52</v>
      </c>
      <c r="F75" s="34">
        <v>321.3</v>
      </c>
      <c r="G75" s="23">
        <v>263.39999999999998</v>
      </c>
      <c r="H75" s="23">
        <v>18.020541549953325</v>
      </c>
      <c r="I75" s="23"/>
      <c r="J75" s="23">
        <v>0.18614664549473758</v>
      </c>
      <c r="K75" s="23"/>
    </row>
    <row r="76" spans="1:11" x14ac:dyDescent="0.25">
      <c r="A76" s="23">
        <v>3</v>
      </c>
      <c r="B76" s="33" t="s">
        <v>29</v>
      </c>
      <c r="C76" s="25">
        <v>725</v>
      </c>
      <c r="D76" s="23" t="s">
        <v>4</v>
      </c>
      <c r="E76" s="23" t="s">
        <v>52</v>
      </c>
      <c r="F76" s="34">
        <v>345.4</v>
      </c>
      <c r="G76" s="23">
        <v>283.8</v>
      </c>
      <c r="H76" s="23">
        <v>17.834394904458588</v>
      </c>
      <c r="I76" s="23"/>
      <c r="J76" s="23"/>
      <c r="K76" s="23">
        <v>-1.1394970202530104</v>
      </c>
    </row>
    <row r="77" spans="1:11" x14ac:dyDescent="0.25">
      <c r="A77" s="23">
        <v>3</v>
      </c>
      <c r="B77" s="33" t="s">
        <v>30</v>
      </c>
      <c r="C77" s="25">
        <v>726</v>
      </c>
      <c r="D77" s="23" t="s">
        <v>2</v>
      </c>
      <c r="E77" s="23" t="s">
        <v>52</v>
      </c>
      <c r="F77" s="34">
        <v>402.5</v>
      </c>
      <c r="G77" s="23">
        <v>321.3</v>
      </c>
      <c r="H77" s="23">
        <v>20.173913043478258</v>
      </c>
      <c r="I77" s="23">
        <v>2.9965412108324259</v>
      </c>
      <c r="J77" s="23"/>
      <c r="K77" s="23"/>
    </row>
    <row r="78" spans="1:11" x14ac:dyDescent="0.25">
      <c r="A78" s="23">
        <v>3</v>
      </c>
      <c r="B78" s="33" t="s">
        <v>30</v>
      </c>
      <c r="C78" s="25">
        <v>726</v>
      </c>
      <c r="D78" s="23" t="s">
        <v>3</v>
      </c>
      <c r="E78" s="23" t="s">
        <v>52</v>
      </c>
      <c r="F78" s="34">
        <v>339.4</v>
      </c>
      <c r="G78" s="23">
        <v>281.10000000000002</v>
      </c>
      <c r="H78" s="23">
        <v>17.177371832645832</v>
      </c>
      <c r="I78" s="23"/>
      <c r="J78" s="23">
        <v>-6.1657366717529989</v>
      </c>
      <c r="K78" s="23"/>
    </row>
    <row r="79" spans="1:11" x14ac:dyDescent="0.25">
      <c r="A79" s="23">
        <v>3</v>
      </c>
      <c r="B79" s="33" t="s">
        <v>30</v>
      </c>
      <c r="C79" s="25">
        <v>726</v>
      </c>
      <c r="D79" s="23" t="s">
        <v>4</v>
      </c>
      <c r="E79" s="23" t="s">
        <v>52</v>
      </c>
      <c r="F79" s="34">
        <v>341</v>
      </c>
      <c r="G79" s="23">
        <v>261.39999999999998</v>
      </c>
      <c r="H79" s="23">
        <v>23.343108504398831</v>
      </c>
      <c r="I79" s="23"/>
      <c r="J79" s="23"/>
      <c r="K79" s="23">
        <v>3.169195460920573</v>
      </c>
    </row>
    <row r="80" spans="1:11" x14ac:dyDescent="0.25">
      <c r="A80" s="23">
        <v>3</v>
      </c>
      <c r="B80" s="33" t="s">
        <v>31</v>
      </c>
      <c r="C80" s="25">
        <v>727</v>
      </c>
      <c r="D80" s="23" t="s">
        <v>2</v>
      </c>
      <c r="E80" s="23" t="s">
        <v>52</v>
      </c>
      <c r="F80" s="34">
        <v>363.7</v>
      </c>
      <c r="G80" s="23">
        <v>285.10000000000002</v>
      </c>
      <c r="H80" s="23">
        <v>21.611218036843542</v>
      </c>
      <c r="I80" s="23">
        <v>0.93562106538168877</v>
      </c>
      <c r="J80" s="23"/>
      <c r="K80" s="23"/>
    </row>
    <row r="81" spans="1:11" x14ac:dyDescent="0.25">
      <c r="A81" s="23">
        <v>3</v>
      </c>
      <c r="B81" s="33" t="s">
        <v>31</v>
      </c>
      <c r="C81" s="25">
        <v>727</v>
      </c>
      <c r="D81" s="23" t="s">
        <v>3</v>
      </c>
      <c r="E81" s="23" t="s">
        <v>52</v>
      </c>
      <c r="F81" s="34">
        <v>343.4</v>
      </c>
      <c r="G81" s="23">
        <v>272.39999999999998</v>
      </c>
      <c r="H81" s="23">
        <v>20.675596971461854</v>
      </c>
      <c r="I81" s="23"/>
      <c r="J81" s="23">
        <v>5.3752698275562949E-2</v>
      </c>
      <c r="K81" s="23"/>
    </row>
    <row r="82" spans="1:11" x14ac:dyDescent="0.25">
      <c r="A82" s="23">
        <v>3</v>
      </c>
      <c r="B82" s="33" t="s">
        <v>31</v>
      </c>
      <c r="C82" s="25">
        <v>727</v>
      </c>
      <c r="D82" s="23" t="s">
        <v>4</v>
      </c>
      <c r="E82" s="23" t="s">
        <v>52</v>
      </c>
      <c r="F82" s="34">
        <v>376.3</v>
      </c>
      <c r="G82" s="23">
        <v>298.7</v>
      </c>
      <c r="H82" s="23">
        <v>20.621844273186291</v>
      </c>
      <c r="I82" s="23"/>
      <c r="J82" s="23"/>
      <c r="K82" s="23">
        <v>-0.98937376365725171</v>
      </c>
    </row>
    <row r="83" spans="1:11" x14ac:dyDescent="0.25">
      <c r="A83" s="23">
        <v>3</v>
      </c>
      <c r="B83" s="33" t="s">
        <v>32</v>
      </c>
      <c r="C83" s="25">
        <v>728</v>
      </c>
      <c r="D83" s="23" t="s">
        <v>2</v>
      </c>
      <c r="E83" s="23" t="s">
        <v>52</v>
      </c>
      <c r="F83" s="34">
        <v>299.5</v>
      </c>
      <c r="G83" s="23">
        <v>242.4</v>
      </c>
      <c r="H83" s="23">
        <v>19.065108514190314</v>
      </c>
      <c r="I83" s="23">
        <v>1.5380606007436413</v>
      </c>
      <c r="J83" s="23"/>
      <c r="K83" s="23"/>
    </row>
    <row r="84" spans="1:11" x14ac:dyDescent="0.25">
      <c r="A84" s="23">
        <v>3</v>
      </c>
      <c r="B84" s="33" t="s">
        <v>32</v>
      </c>
      <c r="C84" s="25">
        <v>728</v>
      </c>
      <c r="D84" s="23" t="s">
        <v>3</v>
      </c>
      <c r="E84" s="23" t="s">
        <v>52</v>
      </c>
      <c r="F84" s="34">
        <v>323.5</v>
      </c>
      <c r="G84" s="23">
        <v>266.8</v>
      </c>
      <c r="H84" s="23">
        <v>17.527047913446673</v>
      </c>
      <c r="I84" s="23"/>
      <c r="J84" s="23">
        <v>-2.3621326056551055</v>
      </c>
      <c r="K84" s="23"/>
    </row>
    <row r="85" spans="1:11" x14ac:dyDescent="0.25">
      <c r="A85" s="23">
        <v>3</v>
      </c>
      <c r="B85" s="33" t="s">
        <v>32</v>
      </c>
      <c r="C85" s="25">
        <v>728</v>
      </c>
      <c r="D85" s="23" t="s">
        <v>4</v>
      </c>
      <c r="E85" s="23" t="s">
        <v>52</v>
      </c>
      <c r="F85" s="34">
        <v>342.9</v>
      </c>
      <c r="G85" s="23">
        <v>274.7</v>
      </c>
      <c r="H85" s="23">
        <v>19.889180519101778</v>
      </c>
      <c r="I85" s="23"/>
      <c r="J85" s="23"/>
      <c r="K85" s="23">
        <v>0.82407200491146426</v>
      </c>
    </row>
    <row r="86" spans="1:11" x14ac:dyDescent="0.25">
      <c r="A86" s="23">
        <v>3</v>
      </c>
      <c r="B86" s="33" t="s">
        <v>33</v>
      </c>
      <c r="C86" s="25">
        <v>729</v>
      </c>
      <c r="D86" s="23" t="s">
        <v>2</v>
      </c>
      <c r="E86" s="23" t="s">
        <v>52</v>
      </c>
      <c r="F86" s="34">
        <v>394.1</v>
      </c>
      <c r="G86" s="23">
        <v>304.5</v>
      </c>
      <c r="H86" s="23">
        <v>22.735346358792189</v>
      </c>
      <c r="I86" s="23">
        <v>4.7095952858308152</v>
      </c>
      <c r="J86" s="23"/>
      <c r="K86" s="23"/>
    </row>
    <row r="87" spans="1:11" x14ac:dyDescent="0.25">
      <c r="A87" s="23">
        <v>3</v>
      </c>
      <c r="B87" s="33" t="s">
        <v>33</v>
      </c>
      <c r="C87" s="25">
        <v>729</v>
      </c>
      <c r="D87" s="23" t="s">
        <v>3</v>
      </c>
      <c r="E87" s="23" t="s">
        <v>52</v>
      </c>
      <c r="F87" s="34">
        <v>349.5</v>
      </c>
      <c r="G87" s="23">
        <v>286.5</v>
      </c>
      <c r="H87" s="23">
        <v>18.025751072961373</v>
      </c>
      <c r="I87" s="23"/>
      <c r="J87" s="23">
        <v>-0.29195115447121722</v>
      </c>
      <c r="K87" s="23"/>
    </row>
    <row r="88" spans="1:11" x14ac:dyDescent="0.25">
      <c r="A88" s="23">
        <v>3</v>
      </c>
      <c r="B88" s="33" t="s">
        <v>33</v>
      </c>
      <c r="C88" s="25">
        <v>729</v>
      </c>
      <c r="D88" s="23" t="s">
        <v>4</v>
      </c>
      <c r="E88" s="23" t="s">
        <v>52</v>
      </c>
      <c r="F88" s="34">
        <v>341.2</v>
      </c>
      <c r="G88" s="23">
        <v>278.7</v>
      </c>
      <c r="H88" s="23">
        <v>18.317702227432591</v>
      </c>
      <c r="I88" s="23"/>
      <c r="J88" s="23"/>
      <c r="K88" s="23">
        <v>-4.417644131359598</v>
      </c>
    </row>
    <row r="89" spans="1:11" x14ac:dyDescent="0.25">
      <c r="A89" s="23">
        <v>3</v>
      </c>
      <c r="B89" s="33" t="s">
        <v>34</v>
      </c>
      <c r="C89" s="25">
        <v>730</v>
      </c>
      <c r="D89" s="23" t="s">
        <v>2</v>
      </c>
      <c r="E89" s="23" t="s">
        <v>52</v>
      </c>
      <c r="F89" s="34">
        <v>363.4</v>
      </c>
      <c r="G89" s="23">
        <v>278.39999999999998</v>
      </c>
      <c r="H89" s="23">
        <v>23.390203632361036</v>
      </c>
      <c r="I89" s="23">
        <v>3.2898586966445222</v>
      </c>
      <c r="J89" s="23"/>
      <c r="K89" s="23"/>
    </row>
    <row r="90" spans="1:11" x14ac:dyDescent="0.25">
      <c r="A90" s="23">
        <v>3</v>
      </c>
      <c r="B90" s="33" t="s">
        <v>34</v>
      </c>
      <c r="C90" s="25">
        <v>730</v>
      </c>
      <c r="D90" s="23" t="s">
        <v>3</v>
      </c>
      <c r="E90" s="23" t="s">
        <v>52</v>
      </c>
      <c r="F90" s="34">
        <v>318.89999999999998</v>
      </c>
      <c r="G90" s="23">
        <v>254.8</v>
      </c>
      <c r="H90" s="23">
        <v>20.100344935716514</v>
      </c>
      <c r="I90" s="23"/>
      <c r="J90" s="23">
        <v>0.27858709920760205</v>
      </c>
      <c r="K90" s="23"/>
    </row>
    <row r="91" spans="1:11" x14ac:dyDescent="0.25">
      <c r="A91" s="23">
        <v>3</v>
      </c>
      <c r="B91" s="33" t="s">
        <v>34</v>
      </c>
      <c r="C91" s="25">
        <v>730</v>
      </c>
      <c r="D91" s="23" t="s">
        <v>4</v>
      </c>
      <c r="E91" s="23" t="s">
        <v>52</v>
      </c>
      <c r="F91" s="34">
        <v>325.39999999999998</v>
      </c>
      <c r="G91" s="23">
        <v>260.89999999999998</v>
      </c>
      <c r="H91" s="23">
        <v>19.821757836508912</v>
      </c>
      <c r="I91" s="23"/>
      <c r="J91" s="23"/>
      <c r="K91" s="23">
        <v>-3.5684457958521243</v>
      </c>
    </row>
    <row r="92" spans="1:11" x14ac:dyDescent="0.25">
      <c r="I92" s="23"/>
    </row>
    <row r="93" spans="1:11" x14ac:dyDescent="0.25">
      <c r="J93" s="23"/>
      <c r="K93" s="50"/>
    </row>
  </sheetData>
  <conditionalFormatting sqref="D1:D1048576">
    <cfRule type="containsText" dxfId="1" priority="1" operator="containsText" text="intermed">
      <formula>NOT(ISERROR(SEARCH("intermed",D1)))</formula>
    </cfRule>
    <cfRule type="containsText" dxfId="0" priority="2" operator="containsText" text="touffe">
      <formula>NOT(ISERROR(SEARCH("touffe",D1)))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</vt:i4>
      </vt:variant>
    </vt:vector>
  </HeadingPairs>
  <TitlesOfParts>
    <vt:vector size="6" baseType="lpstr">
      <vt:lpstr>sediments</vt:lpstr>
      <vt:lpstr>raw_data</vt:lpstr>
      <vt:lpstr>metadata</vt:lpstr>
      <vt:lpstr>raw_data_rassembles</vt:lpstr>
      <vt:lpstr>data_sol_simpl</vt:lpstr>
      <vt:lpstr>raw_data_rassembles!Zone_d_impression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Lisel</dc:creator>
  <cp:lastModifiedBy>AGX</cp:lastModifiedBy>
  <cp:lastPrinted>2023-08-29T12:36:13Z</cp:lastPrinted>
  <dcterms:created xsi:type="dcterms:W3CDTF">2023-08-14T09:10:46Z</dcterms:created>
  <dcterms:modified xsi:type="dcterms:W3CDTF">2023-09-15T08:37:49Z</dcterms:modified>
</cp:coreProperties>
</file>